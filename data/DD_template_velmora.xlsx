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esdo\Documents\projetos\dd-assistant\data\"/>
    </mc:Choice>
  </mc:AlternateContent>
  <xr:revisionPtr revIDLastSave="0" documentId="13_ncr:1_{A5F094B1-1F2D-4875-A768-689940D9778A}" xr6:coauthVersionLast="47" xr6:coauthVersionMax="47" xr10:uidLastSave="{00000000-0000-0000-0000-000000000000}"/>
  <bookViews>
    <workbookView xWindow="-103" yWindow="-103" windowWidth="19954" windowHeight="12652" tabRatio="500" xr2:uid="{00000000-000D-0000-FFFF-FFFF00000000}"/>
  </bookViews>
  <sheets>
    <sheet name="Leia-me" sheetId="1" r:id="rId1"/>
    <sheet name="Red Flags" sheetId="2" r:id="rId2"/>
    <sheet name="Input" sheetId="3" r:id="rId3"/>
    <sheet name="Métricas" sheetId="4" r:id="rId4"/>
    <sheet name="Regra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5" l="1"/>
  <c r="H24" i="5"/>
  <c r="K24" i="5" s="1"/>
  <c r="G24" i="5"/>
  <c r="J24" i="5" s="1"/>
  <c r="V23" i="5"/>
  <c r="V22" i="5"/>
  <c r="H22" i="5"/>
  <c r="K22" i="5" s="1"/>
  <c r="G22" i="5"/>
  <c r="J22" i="5" s="1"/>
  <c r="V21" i="5"/>
  <c r="H21" i="5"/>
  <c r="K21" i="5" s="1"/>
  <c r="G21" i="5"/>
  <c r="J21" i="5" s="1"/>
  <c r="V20" i="5"/>
  <c r="V19" i="5"/>
  <c r="V18" i="5"/>
  <c r="V17" i="5"/>
  <c r="V16" i="5"/>
  <c r="V15" i="5"/>
  <c r="V14" i="5"/>
  <c r="V13" i="5"/>
  <c r="G13" i="5"/>
  <c r="J13" i="5" s="1"/>
  <c r="V12" i="5"/>
  <c r="G12" i="5"/>
  <c r="J12" i="5" s="1"/>
  <c r="V11" i="5"/>
  <c r="G11" i="5"/>
  <c r="J11" i="5" s="1"/>
  <c r="V10" i="5"/>
  <c r="H10" i="5"/>
  <c r="K10" i="5" s="1"/>
  <c r="G10" i="5"/>
  <c r="J10" i="5" s="1"/>
  <c r="V9" i="5"/>
  <c r="V8" i="5"/>
  <c r="V7" i="5"/>
  <c r="G7" i="5"/>
  <c r="J7" i="5" s="1"/>
  <c r="V6" i="5"/>
  <c r="G6" i="5"/>
  <c r="J6" i="5" s="1"/>
  <c r="V5" i="5"/>
  <c r="E87" i="4"/>
  <c r="A87" i="4"/>
  <c r="E86" i="4"/>
  <c r="A86" i="4"/>
  <c r="E85" i="4"/>
  <c r="A85" i="4"/>
  <c r="E84" i="4"/>
  <c r="A84" i="4"/>
  <c r="E83" i="4"/>
  <c r="A83" i="4"/>
  <c r="E80" i="4"/>
  <c r="D80" i="4"/>
  <c r="A80" i="4"/>
  <c r="E79" i="4"/>
  <c r="D79" i="4"/>
  <c r="A79" i="4"/>
  <c r="E78" i="4"/>
  <c r="D78" i="4"/>
  <c r="A78" i="4"/>
  <c r="E77" i="4"/>
  <c r="D77" i="4"/>
  <c r="A77" i="4"/>
  <c r="E76" i="4"/>
  <c r="D76" i="4"/>
  <c r="A76" i="4"/>
  <c r="E75" i="4"/>
  <c r="D75" i="4"/>
  <c r="A75" i="4"/>
  <c r="E74" i="4"/>
  <c r="D74" i="4"/>
  <c r="A74" i="4"/>
  <c r="E73" i="4"/>
  <c r="D73" i="4"/>
  <c r="A73" i="4"/>
  <c r="E72" i="4"/>
  <c r="D72" i="4"/>
  <c r="A72" i="4"/>
  <c r="E71" i="4"/>
  <c r="D71" i="4"/>
  <c r="A71" i="4"/>
  <c r="E70" i="4"/>
  <c r="D70" i="4"/>
  <c r="A70" i="4"/>
  <c r="E69" i="4"/>
  <c r="D69" i="4"/>
  <c r="A69" i="4"/>
  <c r="E66" i="4"/>
  <c r="E65" i="4"/>
  <c r="E61" i="4"/>
  <c r="I19" i="5" s="1"/>
  <c r="L19" i="5" s="1"/>
  <c r="D61" i="4"/>
  <c r="H19" i="5" s="1"/>
  <c r="K19" i="5" s="1"/>
  <c r="C61" i="4"/>
  <c r="E60" i="4"/>
  <c r="I18" i="5" s="1"/>
  <c r="L18" i="5" s="1"/>
  <c r="D60" i="4"/>
  <c r="H18" i="5" s="1"/>
  <c r="K18" i="5" s="1"/>
  <c r="C60" i="4"/>
  <c r="E59" i="4"/>
  <c r="I17" i="5" s="1"/>
  <c r="L17" i="5" s="1"/>
  <c r="D59" i="4"/>
  <c r="H17" i="5" s="1"/>
  <c r="K17" i="5" s="1"/>
  <c r="C59" i="4"/>
  <c r="E58" i="4"/>
  <c r="I16" i="5" s="1"/>
  <c r="L16" i="5" s="1"/>
  <c r="D58" i="4"/>
  <c r="C58" i="4"/>
  <c r="G16" i="5" s="1"/>
  <c r="J16" i="5" s="1"/>
  <c r="B58" i="4"/>
  <c r="E54" i="4"/>
  <c r="E49" i="4"/>
  <c r="D49" i="4"/>
  <c r="C49" i="4"/>
  <c r="B49" i="4"/>
  <c r="E46" i="4"/>
  <c r="D46" i="4"/>
  <c r="C46" i="4"/>
  <c r="E45" i="4"/>
  <c r="D45" i="4"/>
  <c r="C45" i="4"/>
  <c r="E43" i="4"/>
  <c r="D43" i="4"/>
  <c r="C43" i="4"/>
  <c r="E40" i="4"/>
  <c r="D40" i="4"/>
  <c r="C40" i="4"/>
  <c r="E39" i="4"/>
  <c r="D39" i="4"/>
  <c r="C39" i="4"/>
  <c r="E37" i="4"/>
  <c r="D37" i="4"/>
  <c r="E36" i="4"/>
  <c r="D36" i="4"/>
  <c r="D38" i="4" s="1"/>
  <c r="H13" i="5" s="1"/>
  <c r="K13" i="5" s="1"/>
  <c r="C36" i="4"/>
  <c r="E32" i="4"/>
  <c r="D32" i="4"/>
  <c r="C32" i="4"/>
  <c r="E26" i="4"/>
  <c r="D26" i="4"/>
  <c r="C26" i="4"/>
  <c r="E23" i="4"/>
  <c r="D23" i="4"/>
  <c r="C23" i="4"/>
  <c r="E22" i="4"/>
  <c r="D22" i="4"/>
  <c r="E19" i="4"/>
  <c r="D19" i="4"/>
  <c r="C19" i="4"/>
  <c r="E13" i="4"/>
  <c r="D13" i="4"/>
  <c r="C13" i="4"/>
  <c r="E6" i="4"/>
  <c r="E62" i="4" s="1"/>
  <c r="I20" i="5" s="1"/>
  <c r="L20" i="5" s="1"/>
  <c r="D6" i="4"/>
  <c r="D62" i="4" s="1"/>
  <c r="H20" i="5" s="1"/>
  <c r="K20" i="5" s="1"/>
  <c r="C6" i="4"/>
  <c r="C62" i="4" s="1"/>
  <c r="E29" i="4" l="1"/>
  <c r="E8" i="4"/>
  <c r="D8" i="4"/>
  <c r="C51" i="4"/>
  <c r="C50" i="4"/>
  <c r="G15" i="5" s="1"/>
  <c r="J15" i="5" s="1"/>
  <c r="B51" i="4"/>
  <c r="B50" i="4"/>
  <c r="Q17" i="5"/>
  <c r="G17" i="5"/>
  <c r="J17" i="5" s="1"/>
  <c r="N17" i="5" s="1"/>
  <c r="Q18" i="5"/>
  <c r="G18" i="5"/>
  <c r="J18" i="5" s="1"/>
  <c r="Q16" i="5"/>
  <c r="H16" i="5"/>
  <c r="K16" i="5" s="1"/>
  <c r="G19" i="5"/>
  <c r="J19" i="5" s="1"/>
  <c r="Q19" i="5"/>
  <c r="E41" i="4"/>
  <c r="D41" i="4"/>
  <c r="C52" i="4"/>
  <c r="Q20" i="5"/>
  <c r="G20" i="5"/>
  <c r="J20" i="5" s="1"/>
  <c r="N20" i="5" s="1"/>
  <c r="M20" i="5"/>
  <c r="M17" i="5"/>
  <c r="I22" i="5"/>
  <c r="L22" i="5" s="1"/>
  <c r="Q22" i="5"/>
  <c r="E63" i="4"/>
  <c r="E51" i="4"/>
  <c r="E56" i="4" s="1"/>
  <c r="E50" i="4"/>
  <c r="I15" i="5" s="1"/>
  <c r="L15" i="5" s="1"/>
  <c r="D50" i="4"/>
  <c r="D51" i="4"/>
  <c r="D52" i="4" s="1"/>
  <c r="E38" i="4"/>
  <c r="E52" i="4"/>
  <c r="E20" i="4"/>
  <c r="E27" i="4"/>
  <c r="E28" i="4"/>
  <c r="I9" i="5" s="1"/>
  <c r="L9" i="5" s="1"/>
  <c r="E25" i="4"/>
  <c r="E24" i="4"/>
  <c r="E44" i="4"/>
  <c r="I14" i="5" s="1"/>
  <c r="L14" i="5" s="1"/>
  <c r="D24" i="4"/>
  <c r="H23" i="5" s="1"/>
  <c r="K23" i="5" s="1"/>
  <c r="D27" i="4"/>
  <c r="D25" i="4"/>
  <c r="D28" i="4"/>
  <c r="H9" i="5" s="1"/>
  <c r="K9" i="5" s="1"/>
  <c r="D20" i="4"/>
  <c r="D44" i="4"/>
  <c r="H14" i="5" s="1"/>
  <c r="K14" i="5" s="1"/>
  <c r="C27" i="4"/>
  <c r="C24" i="4"/>
  <c r="G23" i="5" s="1"/>
  <c r="J23" i="5" s="1"/>
  <c r="C25" i="4"/>
  <c r="C28" i="4"/>
  <c r="C20" i="4"/>
  <c r="C44" i="4"/>
  <c r="E47" i="4"/>
  <c r="E12" i="4"/>
  <c r="I5" i="5" s="1"/>
  <c r="L5" i="5" s="1"/>
  <c r="E7" i="4"/>
  <c r="E17" i="4"/>
  <c r="E34" i="4"/>
  <c r="E21" i="4"/>
  <c r="D17" i="4"/>
  <c r="D47" i="4"/>
  <c r="D12" i="4"/>
  <c r="H5" i="5" s="1"/>
  <c r="K5" i="5" s="1"/>
  <c r="D21" i="4"/>
  <c r="H8" i="5" s="1"/>
  <c r="K8" i="5" s="1"/>
  <c r="D34" i="4"/>
  <c r="D7" i="4"/>
  <c r="D33" i="4" s="1"/>
  <c r="H11" i="5" s="1"/>
  <c r="K11" i="5" s="1"/>
  <c r="C47" i="4"/>
  <c r="C12" i="4"/>
  <c r="C14" i="4"/>
  <c r="C34" i="4"/>
  <c r="Q12" i="5" s="1"/>
  <c r="C17" i="4"/>
  <c r="C21" i="4"/>
  <c r="G8" i="5" s="1"/>
  <c r="J8" i="5" s="1"/>
  <c r="E30" i="4" l="1"/>
  <c r="Q10" i="5"/>
  <c r="I10" i="5"/>
  <c r="L10" i="5" s="1"/>
  <c r="E9" i="4"/>
  <c r="E10" i="4"/>
  <c r="E14" i="4"/>
  <c r="E11" i="4"/>
  <c r="D9" i="4"/>
  <c r="H6" i="5" s="1"/>
  <c r="K6" i="5" s="1"/>
  <c r="D10" i="4"/>
  <c r="D11" i="4"/>
  <c r="D14" i="4"/>
  <c r="D15" i="4" s="1"/>
  <c r="C53" i="4"/>
  <c r="N19" i="5"/>
  <c r="M19" i="5"/>
  <c r="N16" i="5"/>
  <c r="M16" i="5"/>
  <c r="N18" i="5"/>
  <c r="M18" i="5"/>
  <c r="I13" i="5"/>
  <c r="L13" i="5" s="1"/>
  <c r="Q13" i="5"/>
  <c r="Q21" i="5"/>
  <c r="I21" i="5"/>
  <c r="L21" i="5" s="1"/>
  <c r="H15" i="5"/>
  <c r="K15" i="5" s="1"/>
  <c r="Q15" i="5"/>
  <c r="E55" i="4"/>
  <c r="Q23" i="5"/>
  <c r="I23" i="5"/>
  <c r="L23" i="5" s="1"/>
  <c r="G9" i="5"/>
  <c r="J9" i="5" s="1"/>
  <c r="Q9" i="5"/>
  <c r="G14" i="5"/>
  <c r="J14" i="5" s="1"/>
  <c r="Q14" i="5"/>
  <c r="E33" i="4"/>
  <c r="Q8" i="5"/>
  <c r="I8" i="5"/>
  <c r="L8" i="5" s="1"/>
  <c r="G5" i="5"/>
  <c r="J5" i="5" s="1"/>
  <c r="Q5" i="5"/>
  <c r="E53" i="4"/>
  <c r="D53" i="4"/>
  <c r="E18" i="4"/>
  <c r="E35" i="4"/>
  <c r="I12" i="5" s="1"/>
  <c r="L12" i="5" s="1"/>
  <c r="D18" i="4"/>
  <c r="H7" i="5" s="1"/>
  <c r="K7" i="5" s="1"/>
  <c r="D35" i="4"/>
  <c r="H12" i="5" s="1"/>
  <c r="K12" i="5" s="1"/>
  <c r="M22" i="5"/>
  <c r="N22" i="5"/>
  <c r="N23" i="5" l="1"/>
  <c r="M23" i="5"/>
  <c r="M8" i="5"/>
  <c r="N8" i="5"/>
  <c r="M10" i="5"/>
  <c r="N10" i="5"/>
  <c r="E15" i="4"/>
  <c r="Q6" i="5"/>
  <c r="I6" i="5"/>
  <c r="L6" i="5" s="1"/>
  <c r="I11" i="5"/>
  <c r="L11" i="5" s="1"/>
  <c r="Q11" i="5"/>
  <c r="M13" i="5"/>
  <c r="N13" i="5"/>
  <c r="M21" i="5"/>
  <c r="N21" i="5"/>
  <c r="N15" i="5"/>
  <c r="M15" i="5"/>
  <c r="N9" i="5"/>
  <c r="M9" i="5"/>
  <c r="N14" i="5"/>
  <c r="M14" i="5"/>
  <c r="N5" i="5"/>
  <c r="M5" i="5"/>
  <c r="Q7" i="5"/>
  <c r="I7" i="5"/>
  <c r="L7" i="5" s="1"/>
  <c r="M7" i="5"/>
  <c r="N7" i="5"/>
  <c r="N12" i="5"/>
  <c r="M12" i="5"/>
  <c r="I24" i="5"/>
  <c r="L24" i="5" s="1"/>
  <c r="Q24" i="5"/>
  <c r="M11" i="5" l="1"/>
  <c r="P11" i="5" s="1"/>
  <c r="N11" i="5"/>
  <c r="N6" i="5"/>
  <c r="M6" i="5"/>
  <c r="P12" i="5"/>
  <c r="P19" i="5"/>
  <c r="P16" i="5"/>
  <c r="P13" i="5"/>
  <c r="P8" i="5"/>
  <c r="P23" i="5"/>
  <c r="P18" i="5"/>
  <c r="P17" i="5"/>
  <c r="P5" i="5"/>
  <c r="N24" i="5"/>
  <c r="M24" i="5"/>
  <c r="P14" i="5"/>
  <c r="P7" i="5"/>
  <c r="P15" i="5"/>
  <c r="P21" i="5" l="1"/>
  <c r="P6" i="5"/>
  <c r="P20" i="5"/>
  <c r="P10" i="5"/>
  <c r="P22" i="5"/>
  <c r="P9" i="5"/>
  <c r="P24" i="5"/>
  <c r="N3" i="2"/>
  <c r="E3" i="2" l="1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B25" i="2" l="1"/>
  <c r="C25" i="2"/>
  <c r="D25" i="2"/>
  <c r="E25" i="2"/>
  <c r="F25" i="2"/>
  <c r="G25" i="2"/>
  <c r="H25" i="2"/>
  <c r="I25" i="2"/>
  <c r="J25" i="2"/>
  <c r="B24" i="2"/>
  <c r="C24" i="2"/>
  <c r="D24" i="2"/>
  <c r="E24" i="2"/>
  <c r="F24" i="2"/>
  <c r="G24" i="2"/>
  <c r="H24" i="2"/>
  <c r="I24" i="2"/>
  <c r="J24" i="2"/>
  <c r="B23" i="2"/>
  <c r="C23" i="2"/>
  <c r="D23" i="2"/>
  <c r="E23" i="2"/>
  <c r="F23" i="2"/>
  <c r="G23" i="2"/>
  <c r="H23" i="2"/>
  <c r="I23" i="2"/>
  <c r="J23" i="2"/>
  <c r="B22" i="2"/>
  <c r="C22" i="2"/>
  <c r="D22" i="2"/>
  <c r="E22" i="2"/>
  <c r="F22" i="2"/>
  <c r="G22" i="2"/>
  <c r="H22" i="2"/>
  <c r="I22" i="2"/>
  <c r="J22" i="2"/>
  <c r="B21" i="2"/>
  <c r="C21" i="2"/>
  <c r="D21" i="2"/>
  <c r="E21" i="2"/>
  <c r="F21" i="2"/>
  <c r="G21" i="2"/>
  <c r="H21" i="2"/>
  <c r="I21" i="2"/>
  <c r="J21" i="2"/>
  <c r="B20" i="2"/>
  <c r="C20" i="2"/>
  <c r="D20" i="2"/>
  <c r="E20" i="2"/>
  <c r="F20" i="2"/>
  <c r="G20" i="2"/>
  <c r="H20" i="2"/>
  <c r="I20" i="2"/>
  <c r="J20" i="2"/>
  <c r="B19" i="2"/>
  <c r="C19" i="2"/>
  <c r="D19" i="2"/>
  <c r="E19" i="2"/>
  <c r="F19" i="2"/>
  <c r="G19" i="2"/>
  <c r="H19" i="2"/>
  <c r="I19" i="2"/>
  <c r="J19" i="2"/>
  <c r="B18" i="2"/>
  <c r="C18" i="2"/>
  <c r="D18" i="2"/>
  <c r="E18" i="2"/>
  <c r="F18" i="2"/>
  <c r="G18" i="2"/>
  <c r="H18" i="2"/>
  <c r="I18" i="2"/>
  <c r="J18" i="2"/>
  <c r="B17" i="2"/>
  <c r="C17" i="2"/>
  <c r="D17" i="2"/>
  <c r="E17" i="2"/>
  <c r="F17" i="2"/>
  <c r="G17" i="2"/>
  <c r="H17" i="2"/>
  <c r="I17" i="2"/>
  <c r="J17" i="2"/>
  <c r="B16" i="2"/>
  <c r="C16" i="2"/>
  <c r="D16" i="2"/>
  <c r="E16" i="2"/>
  <c r="F16" i="2"/>
  <c r="G16" i="2"/>
  <c r="H16" i="2"/>
  <c r="I16" i="2"/>
  <c r="J16" i="2"/>
  <c r="B15" i="2"/>
  <c r="C15" i="2"/>
  <c r="D15" i="2"/>
  <c r="E15" i="2"/>
  <c r="F15" i="2"/>
  <c r="G15" i="2"/>
  <c r="H15" i="2"/>
  <c r="I15" i="2"/>
  <c r="J15" i="2"/>
  <c r="B14" i="2"/>
  <c r="C14" i="2"/>
  <c r="D14" i="2"/>
  <c r="E14" i="2"/>
  <c r="F14" i="2"/>
  <c r="G14" i="2"/>
  <c r="H14" i="2"/>
  <c r="I14" i="2"/>
  <c r="J14" i="2"/>
  <c r="B13" i="2"/>
  <c r="C13" i="2"/>
  <c r="D13" i="2"/>
  <c r="E13" i="2"/>
  <c r="F13" i="2"/>
  <c r="G13" i="2"/>
  <c r="H13" i="2"/>
  <c r="I13" i="2"/>
  <c r="J13" i="2"/>
  <c r="B12" i="2"/>
  <c r="C12" i="2"/>
  <c r="D12" i="2"/>
  <c r="E12" i="2"/>
  <c r="F12" i="2"/>
  <c r="G12" i="2"/>
  <c r="H12" i="2"/>
  <c r="I12" i="2"/>
  <c r="J12" i="2"/>
  <c r="B11" i="2"/>
  <c r="C11" i="2"/>
  <c r="D11" i="2"/>
  <c r="E11" i="2"/>
  <c r="F11" i="2"/>
  <c r="G11" i="2"/>
  <c r="H11" i="2"/>
  <c r="I11" i="2"/>
  <c r="J11" i="2"/>
  <c r="B10" i="2"/>
  <c r="C10" i="2"/>
  <c r="D10" i="2"/>
  <c r="E10" i="2"/>
  <c r="F10" i="2"/>
  <c r="G10" i="2"/>
  <c r="H10" i="2"/>
  <c r="I10" i="2"/>
  <c r="J10" i="2"/>
  <c r="B9" i="2"/>
  <c r="C9" i="2"/>
  <c r="D9" i="2"/>
  <c r="E9" i="2"/>
  <c r="F9" i="2"/>
  <c r="G9" i="2"/>
  <c r="H9" i="2"/>
  <c r="I9" i="2"/>
  <c r="J9" i="2"/>
  <c r="B8" i="2"/>
  <c r="C8" i="2"/>
  <c r="D8" i="2"/>
  <c r="E8" i="2"/>
  <c r="F8" i="2"/>
  <c r="G8" i="2"/>
  <c r="H8" i="2"/>
  <c r="I8" i="2"/>
  <c r="J8" i="2"/>
  <c r="B7" i="2"/>
  <c r="C7" i="2"/>
  <c r="D7" i="2"/>
  <c r="E7" i="2"/>
  <c r="F7" i="2"/>
  <c r="G7" i="2"/>
  <c r="H7" i="2"/>
  <c r="I7" i="2"/>
  <c r="J7" i="2"/>
  <c r="B6" i="2"/>
  <c r="C6" i="2"/>
  <c r="D6" i="2"/>
  <c r="E6" i="2"/>
  <c r="F6" i="2"/>
  <c r="G6" i="2"/>
  <c r="H6" i="2"/>
  <c r="I6" i="2"/>
  <c r="J6" i="2"/>
</calcChain>
</file>

<file path=xl/sharedStrings.xml><?xml version="1.0" encoding="utf-8"?>
<sst xmlns="http://schemas.openxmlformats.org/spreadsheetml/2006/main" count="569" uniqueCount="442">
  <si>
    <t>Due Diligence Assistant — template de análise (módulo 1)</t>
  </si>
  <si>
    <t>Como funciona</t>
  </si>
  <si>
    <t>Quatro folhas em cadeia, sempre separadas: Input (dados, cada linha com a fonte) → Métricas (fórmulas) → Regras (cada métrica comparada com um limite) → Red Flags (os alertas que dispararam). Nenhum número é estimado: tudo sai de fórmulas que pode abrir e conferir.</t>
  </si>
  <si>
    <t>Para analisar outra empresa</t>
  </si>
  <si>
    <t>1) Na folha Input, substitua as células amarelas pelos dados da nova empresa e atualize a coluna Fonte. 2) Marque os documentos recebidos (Sim / Não). 3) Abra a folha Red Flags: os alertas aparecem sozinhos.</t>
  </si>
  <si>
    <t>Ajustar as regras</t>
  </si>
  <si>
    <t>Na folha Regras, altere os limites (coluna F) e a relevância (coluna O). As regras e os alertas recalculam de imediato.</t>
  </si>
  <si>
    <t>Rever os alertas</t>
  </si>
  <si>
    <t>Na folha Red Flags, marque cada alerta como Aceite, Descartado ou Pendente e escreva o porquê. O estado fica na linha: se mudar limites, confirme que os comentários continuam ao lado do alerta certo.</t>
  </si>
  <si>
    <t>O que a IA fará depois</t>
  </si>
  <si>
    <t>As regras dão a evidência e uma pergunta-modelo. No passo 3, a IA lê os alertas, explica cada um, junta os que contam a mesma história e escreve as perguntas finais e o memo de duas páginas. A IA não cria alertas nem faz contas.</t>
  </si>
  <si>
    <t>Cores</t>
  </si>
  <si>
    <t>Amarelo com texto azul: valores e escolhas que pode editar. Preto: fórmulas. Cinzento: célula sem dado para aquele ano.</t>
  </si>
  <si>
    <t>Limitações</t>
  </si>
  <si>
    <t>Red flags — módulo 1 (gerados pelas regras)</t>
  </si>
  <si>
    <t>Preenchido por fórmula. O analista revê cada alerta nas colunas amarelas: Aceite / Descartado / Pendente.</t>
  </si>
  <si>
    <t>Nº</t>
  </si>
  <si>
    <t>Regra</t>
  </si>
  <si>
    <t>Área</t>
  </si>
  <si>
    <t>Anos</t>
  </si>
  <si>
    <t>Evidência (com fonte)</t>
  </si>
  <si>
    <t>Cálculo e regra disparada</t>
  </si>
  <si>
    <t>Ponto a investigar</t>
  </si>
  <si>
    <t>Relevância</t>
  </si>
  <si>
    <t>Pergunta para a empresa</t>
  </si>
  <si>
    <t>Documento a pedir</t>
  </si>
  <si>
    <t>Estado do revisor</t>
  </si>
  <si>
    <t>Comentário do revisor</t>
  </si>
  <si>
    <t>Input — dados da empresa-alvo</t>
  </si>
  <si>
    <t>€ milhares. Preencha só as células amarelas (azul = valor copiado do data room). A coluna Fonte guarda a origem de cada linha.</t>
  </si>
  <si>
    <t>Rubrica</t>
  </si>
  <si>
    <t>2022</t>
  </si>
  <si>
    <t>2023</t>
  </si>
  <si>
    <t>2024</t>
  </si>
  <si>
    <t>2025</t>
  </si>
  <si>
    <t>Fonte no data room</t>
  </si>
  <si>
    <t>Demonstração de resultados (gastos com sinal negativo)</t>
  </si>
  <si>
    <t>Vendas e serviços prestados</t>
  </si>
  <si>
    <t>DRE!B5:D5</t>
  </si>
  <si>
    <t>Custo das mercadorias vendidas (CMV)</t>
  </si>
  <si>
    <t>DRE!B6:D6</t>
  </si>
  <si>
    <t>Fornecimentos e serviços externos</t>
  </si>
  <si>
    <t>DRE!B8:D8</t>
  </si>
  <si>
    <t>Gastos com o pessoal</t>
  </si>
  <si>
    <t>DRE!B9:D9</t>
  </si>
  <si>
    <t>Imparidade de dívidas a receber</t>
  </si>
  <si>
    <t>DRE!B10:D10</t>
  </si>
  <si>
    <t>Outros rendimentos</t>
  </si>
  <si>
    <t>DRE!B11:D11</t>
  </si>
  <si>
    <t>Outros gastos</t>
  </si>
  <si>
    <t>DRE!B12:D12</t>
  </si>
  <si>
    <t>Depreciações e amortizações</t>
  </si>
  <si>
    <t>DRE!B14:D14</t>
  </si>
  <si>
    <t>Juros e gastos similares</t>
  </si>
  <si>
    <t>DRE!B16:D16</t>
  </si>
  <si>
    <t>Imposto sobre o rendimento</t>
  </si>
  <si>
    <t>DRE!B18:D18</t>
  </si>
  <si>
    <t>Resultado líquido (DRE)</t>
  </si>
  <si>
    <t>DRE!B19:D19</t>
  </si>
  <si>
    <t>Balanço (31 de dezembro)</t>
  </si>
  <si>
    <t>Ativos fixos tangíveis</t>
  </si>
  <si>
    <t>Balanço!B6:E6</t>
  </si>
  <si>
    <t>Outros ativos não correntes</t>
  </si>
  <si>
    <t>Não existe no data room (0)</t>
  </si>
  <si>
    <t>Inventários</t>
  </si>
  <si>
    <t>Balanço!B8:E8</t>
  </si>
  <si>
    <t>Clientes</t>
  </si>
  <si>
    <t>Balanço!B9:E9</t>
  </si>
  <si>
    <t>Outros ativos correntes</t>
  </si>
  <si>
    <t>Balanço!B10:E10</t>
  </si>
  <si>
    <t>Caixa e depósitos bancários</t>
  </si>
  <si>
    <t>Balanço!B11:E11</t>
  </si>
  <si>
    <t>Total do capital próprio</t>
  </si>
  <si>
    <t>Balanço!B19:E19</t>
  </si>
  <si>
    <t>Resultado líquido (balanço)</t>
  </si>
  <si>
    <t>Balanço!B18:E18</t>
  </si>
  <si>
    <t>Financiamentos obtidos (não corrente)</t>
  </si>
  <si>
    <t>Balanço!B20:E20</t>
  </si>
  <si>
    <t>Outros passivos não correntes</t>
  </si>
  <si>
    <t>Fornecedores</t>
  </si>
  <si>
    <t>Balanço!B22:E22</t>
  </si>
  <si>
    <t>Financiamentos obtidos (corrente)</t>
  </si>
  <si>
    <t>Balanço!B23:E23</t>
  </si>
  <si>
    <t>Outros passivos correntes</t>
  </si>
  <si>
    <t>Balanço!B24:E24</t>
  </si>
  <si>
    <t>Demonstração de fluxos de caixa</t>
  </si>
  <si>
    <t>Resultado líquido (DFC)</t>
  </si>
  <si>
    <t>DFC!B5:D5</t>
  </si>
  <si>
    <t>Variação de clientes</t>
  </si>
  <si>
    <t>DFC!B10:D10</t>
  </si>
  <si>
    <t>Variação de inventários</t>
  </si>
  <si>
    <t>DFC!B11:D11</t>
  </si>
  <si>
    <t>Variação de fornecedores</t>
  </si>
  <si>
    <t>DFC!B12:D12</t>
  </si>
  <si>
    <t>Variação de outros ativos correntes</t>
  </si>
  <si>
    <t>DFC!B13:D13</t>
  </si>
  <si>
    <t>Variação de outros passivos correntes</t>
  </si>
  <si>
    <t>DFC!B14:D14</t>
  </si>
  <si>
    <t>Caixa gerada pelas operações (antes de juros e impostos)</t>
  </si>
  <si>
    <t>DFC!B15:D15</t>
  </si>
  <si>
    <t>Fluxo de caixa das atividades operacionais (FCO)</t>
  </si>
  <si>
    <t>DFC!B18:D18</t>
  </si>
  <si>
    <t>Pagamentos de ativos fixos (capex)</t>
  </si>
  <si>
    <t>DFC!B20:D20</t>
  </si>
  <si>
    <t>Recebimentos da alienação de ativos fixos</t>
  </si>
  <si>
    <t>DFC!B21:D21</t>
  </si>
  <si>
    <t>(Ganhos)/perdas na alienação de ativos fixos</t>
  </si>
  <si>
    <t>DFC!B9:D9</t>
  </si>
  <si>
    <t>Caixa no início do período</t>
  </si>
  <si>
    <t>DFC!B30:D30</t>
  </si>
  <si>
    <t>Caixa no fim do período</t>
  </si>
  <si>
    <t>DFC!B31:D31</t>
  </si>
  <si>
    <t>Vendas por cliente (até 12 clientes identificados + outros)</t>
  </si>
  <si>
    <t>Cliente A</t>
  </si>
  <si>
    <t>Vendas por Cliente!C5:G5</t>
  </si>
  <si>
    <t>Cliente B</t>
  </si>
  <si>
    <t>Vendas por Cliente!C6:G6</t>
  </si>
  <si>
    <t>Cliente C</t>
  </si>
  <si>
    <t>Vendas por Cliente!C7:G7</t>
  </si>
  <si>
    <t>Cliente D</t>
  </si>
  <si>
    <t>Vendas por Cliente!C8:G8</t>
  </si>
  <si>
    <t>Cliente E</t>
  </si>
  <si>
    <t>Vendas por Cliente!C9:G9</t>
  </si>
  <si>
    <t>Cliente F</t>
  </si>
  <si>
    <t>Vendas por Cliente!C10:G10</t>
  </si>
  <si>
    <t>Cliente G</t>
  </si>
  <si>
    <t>Vendas por Cliente!C11:G11</t>
  </si>
  <si>
    <t>Cliente H</t>
  </si>
  <si>
    <t>Vendas por Cliente!C12:G12</t>
  </si>
  <si>
    <t>Cliente I</t>
  </si>
  <si>
    <t>Vendas por Cliente!C13:G13</t>
  </si>
  <si>
    <t>Vendas por Cliente!C14:G14</t>
  </si>
  <si>
    <t>(vazio)</t>
  </si>
  <si>
    <t>Outros clientes</t>
  </si>
  <si>
    <t>Vendas por Cliente!C15:G15</t>
  </si>
  <si>
    <t>Ajustes ao EBITDA apresentados pela gestão (valores somados ao EBITDA)</t>
  </si>
  <si>
    <t>EBITDA Ajustado!B8:D8</t>
  </si>
  <si>
    <t>EBITDA Ajustado!B9:D9</t>
  </si>
  <si>
    <t>EBITDA Ajustado!B10:D10</t>
  </si>
  <si>
    <t>Mapa da dívida (último ano)</t>
  </si>
  <si>
    <t>Total em dívida segundo o mapa</t>
  </si>
  <si>
    <t>Parcela corrente segundo o mapa</t>
  </si>
  <si>
    <t>Covenant: dívida líquida / EBITDA máximo</t>
  </si>
  <si>
    <t>Documentos recebidos (Sim / Não na coluna B)</t>
  </si>
  <si>
    <t>Demonstração de resultados</t>
  </si>
  <si>
    <t>Sim</t>
  </si>
  <si>
    <t>Balanço</t>
  </si>
  <si>
    <t>Vendas por cliente</t>
  </si>
  <si>
    <t>Evidência dos ajustes ao EBITDA (faturas, contratos)</t>
  </si>
  <si>
    <t>Detalhe de outros rendimentos e outros gastos</t>
  </si>
  <si>
    <t>Aging de clientes</t>
  </si>
  <si>
    <t>Aging de inventários</t>
  </si>
  <si>
    <t>Mapa da dívida</t>
  </si>
  <si>
    <t>Contratos de financiamento</t>
  </si>
  <si>
    <t>Métricas — calculadas por fórmula a partir do Input</t>
  </si>
  <si>
    <t>Não editar. 'n.d.' = não disponível (falta o ano anterior ou o dado).</t>
  </si>
  <si>
    <t>Métrica</t>
  </si>
  <si>
    <t>Como se calcula</t>
  </si>
  <si>
    <t>Receitas</t>
  </si>
  <si>
    <t>Vendas</t>
  </si>
  <si>
    <t>Input</t>
  </si>
  <si>
    <t>Crescimento das vendas</t>
  </si>
  <si>
    <t>n.d.</t>
  </si>
  <si>
    <t>Vendas do ano / vendas do ano anterior − 1</t>
  </si>
  <si>
    <t>Vendas a clientes novos</t>
  </si>
  <si>
    <t>Clientes sem vendas no ano anterior</t>
  </si>
  <si>
    <t>Clientes novos (% das vendas)</t>
  </si>
  <si>
    <t>Vendas a clientes novos / vendas</t>
  </si>
  <si>
    <t>Maior cliente novo</t>
  </si>
  <si>
    <t>Nome do cliente novo com mais vendas</t>
  </si>
  <si>
    <t>Crescimento das vendas sem clientes novos</t>
  </si>
  <si>
    <t>(Vendas − vendas a clientes novos) / vendas do ano anterior − 1</t>
  </si>
  <si>
    <t>Maior cliente (% das vendas)</t>
  </si>
  <si>
    <t>Vendas do maior cliente / vendas</t>
  </si>
  <si>
    <t>Maior cliente</t>
  </si>
  <si>
    <t>Nome do cliente com mais vendas</t>
  </si>
  <si>
    <t>Vendas sem o maior cliente e sem clientes novos</t>
  </si>
  <si>
    <t>Vendas − maior cliente − clientes novos (2023: só sem o maior cliente)</t>
  </si>
  <si>
    <t>Crescimento das vendas sem o maior cliente e sem novos</t>
  </si>
  <si>
    <t>Mostra se o resto da carteira cresce</t>
  </si>
  <si>
    <t>Margens e qualidade do EBITDA</t>
  </si>
  <si>
    <t>Margem bruta</t>
  </si>
  <si>
    <t>(Vendas + CMV) / vendas</t>
  </si>
  <si>
    <t>Variação da margem bruta</t>
  </si>
  <si>
    <t>Margem do ano − margem do ano anterior, em pontos percentuais</t>
  </si>
  <si>
    <t>EBITDA reportado</t>
  </si>
  <si>
    <t>Vendas + CMV + FSE + pessoal + imparidades + outros rendimentos + outros gastos</t>
  </si>
  <si>
    <t>Margem EBITDA</t>
  </si>
  <si>
    <t>EBITDA / vendas</t>
  </si>
  <si>
    <t>Outros rendimentos (% das vendas)</t>
  </si>
  <si>
    <t>Outros rendimentos / vendas</t>
  </si>
  <si>
    <t>Variação dos outros rendimentos</t>
  </si>
  <si>
    <t>Outros rendimentos / ano anterior − 1</t>
  </si>
  <si>
    <t>Ganhos na alienação de ativos (dentro do EBITDA)</t>
  </si>
  <si>
    <t>Sinal trocado da linha da DFC. Assume que o ganho está em Outros rendimentos, como manda o SNC</t>
  </si>
  <si>
    <t>Ganhos na alienação (% do EBITDA)</t>
  </si>
  <si>
    <t>Ganhos na alienação / EBITDA reportado</t>
  </si>
  <si>
    <t>EBITDA sem ganhos na alienação</t>
  </si>
  <si>
    <t>EBITDA reportado − ganhos na alienação</t>
  </si>
  <si>
    <t>Ajustes da gestão ao EBITDA</t>
  </si>
  <si>
    <t>Soma dos ajustes no Input</t>
  </si>
  <si>
    <t>EBITDA ajustado (gestão)</t>
  </si>
  <si>
    <t>EBITDA reportado + ajustes</t>
  </si>
  <si>
    <t>Ajustes (% do EBITDA reportado)</t>
  </si>
  <si>
    <t>Ajustes / EBITDA reportado</t>
  </si>
  <si>
    <t>Ajustes 'não recorrentes' presentes nos 3 anos</t>
  </si>
  <si>
    <t>Nº de linhas de ajuste com valor em 2023, 2024 e 2025</t>
  </si>
  <si>
    <t>Exemplo de ajuste repetido</t>
  </si>
  <si>
    <t>Primeiro ajuste que se repete nos 3 anos</t>
  </si>
  <si>
    <t>Capital de giro</t>
  </si>
  <si>
    <t>Crescimento de clientes (contas a receber)</t>
  </si>
  <si>
    <t>Clientes / ano anterior − 1</t>
  </si>
  <si>
    <t>Clientes vs. vendas (diferença de crescimento)</t>
  </si>
  <si>
    <t>Crescimento de clientes − crescimento das vendas, em p.p.</t>
  </si>
  <si>
    <t>DSO (prazo médio de recebimento)</t>
  </si>
  <si>
    <t>Clientes / vendas × 365</t>
  </si>
  <si>
    <t>Variação do DSO</t>
  </si>
  <si>
    <t>DSO − DSO do ano anterior</t>
  </si>
  <si>
    <t>Crescimento dos inventários</t>
  </si>
  <si>
    <t>Inventários / ano anterior − 1</t>
  </si>
  <si>
    <t>Crescimento do CMV</t>
  </si>
  <si>
    <t>CMV / ano anterior − 1</t>
  </si>
  <si>
    <t>Inventários vs. CMV (diferença de crescimento)</t>
  </si>
  <si>
    <t>Crescimento dos inventários − crescimento do CMV, em p.p.</t>
  </si>
  <si>
    <t>DIO (dias de stock)</t>
  </si>
  <si>
    <t>Inventários / CMV × 365</t>
  </si>
  <si>
    <t>DPO (prazo médio de pagamento)</t>
  </si>
  <si>
    <t>Fornecedores / CMV × 365</t>
  </si>
  <si>
    <t>Variação do DPO</t>
  </si>
  <si>
    <t>DPO − DPO do ano anterior</t>
  </si>
  <si>
    <t>Geração de caixa</t>
  </si>
  <si>
    <t>Caixa gerada pelas operações</t>
  </si>
  <si>
    <t>Input (antes de juros e impostos)</t>
  </si>
  <si>
    <t>Conversão de caixa</t>
  </si>
  <si>
    <t>Caixa gerada pelas operações / EBITDA</t>
  </si>
  <si>
    <t>Fluxo de caixa operacional (FCO)</t>
  </si>
  <si>
    <t>Input (depois de juros e impostos)</t>
  </si>
  <si>
    <t>Free cash flow</t>
  </si>
  <si>
    <t>FCO + capex + alienações</t>
  </si>
  <si>
    <t>Capex (% das vendas)</t>
  </si>
  <si>
    <t>Capex / vendas</t>
  </si>
  <si>
    <t>Dívida</t>
  </si>
  <si>
    <t>Dívida financeira</t>
  </si>
  <si>
    <t>Financiamentos não correntes + correntes</t>
  </si>
  <si>
    <t>Dívida a vencer em 12 meses (% do total)</t>
  </si>
  <si>
    <t>Financiamentos correntes / dívida financeira</t>
  </si>
  <si>
    <t>Dívida líquida</t>
  </si>
  <si>
    <t>Dívida financeira − caixa</t>
  </si>
  <si>
    <t>Dívida líquida / EBITDA</t>
  </si>
  <si>
    <t>Dívida líquida / EBITDA reportado</t>
  </si>
  <si>
    <t>Dívida líquida / EBITDA sem ganhos na alienação</t>
  </si>
  <si>
    <t>Dívida líquida / (EBITDA − ganhos na alienação)</t>
  </si>
  <si>
    <t>Limite do covenant (dívida líquida / EBITDA)</t>
  </si>
  <si>
    <t>Input, mapa da dívida</t>
  </si>
  <si>
    <t>Folga do covenant</t>
  </si>
  <si>
    <t>1 − rácio atual / limite. Negativo = covenant quebrado</t>
  </si>
  <si>
    <t>EBITDA mínimo para cumprir o covenant</t>
  </si>
  <si>
    <t>Dívida líquida / limite do covenant</t>
  </si>
  <si>
    <t>Consistência dos dados (0 = tudo bate)</t>
  </si>
  <si>
    <t>Ativo − (capital próprio + passivo)</t>
  </si>
  <si>
    <t>Tem de ser 0</t>
  </si>
  <si>
    <t>Caixa final da DFC − caixa do balanço</t>
  </si>
  <si>
    <t>Variações de capital de giro: DFC vs. balanço</t>
  </si>
  <si>
    <t>Soma das diferenças absolutas nas 5 linhas; tem de ser 0</t>
  </si>
  <si>
    <t>Resultado líquido: maior diferença DRE / balanço / DFC</t>
  </si>
  <si>
    <t>Vendas por cliente − vendas da DRE</t>
  </si>
  <si>
    <t>Mapa da dívida − balanço</t>
  </si>
  <si>
    <t>Total e parcela corrente; tem de ser 0</t>
  </si>
  <si>
    <t>Informação</t>
  </si>
  <si>
    <t>Documentos obrigatórios em falta</t>
  </si>
  <si>
    <t>Nº de 'Não' na lista de documentos</t>
  </si>
  <si>
    <t>Lista de documentos em falta</t>
  </si>
  <si>
    <t>Documentos marcados com 'Não'</t>
  </si>
  <si>
    <t>Auxiliar: vendas a clientes novos (cliente sem vendas no ano anterior)</t>
  </si>
  <si>
    <t>Auxiliar: ajustes presentes nos 3 anos (1 = sim)</t>
  </si>
  <si>
    <t>Catálogo de regras</t>
  </si>
  <si>
    <t>Cada regra compara uma métrica com um limite. Os limites (amarelo) são editáveis. Os alertas vão para a folha Red Flags.</t>
  </si>
  <si>
    <t>ID</t>
  </si>
  <si>
    <t>Cálculo</t>
  </si>
  <si>
    <t>Condição</t>
  </si>
  <si>
    <t>Limite</t>
  </si>
  <si>
    <t>Valor 2023</t>
  </si>
  <si>
    <t>Valor 2024</t>
  </si>
  <si>
    <t>Valor 2025</t>
  </si>
  <si>
    <t>Dispara 2023</t>
  </si>
  <si>
    <t>Dispara 2024</t>
  </si>
  <si>
    <t>Dispara 2025</t>
  </si>
  <si>
    <t>Alerta?</t>
  </si>
  <si>
    <t>Nº alerta</t>
  </si>
  <si>
    <t>Evidência (gerada por fórmula)</t>
  </si>
  <si>
    <t>Pergunta-modelo para a empresa</t>
  </si>
  <si>
    <t>Por que importa</t>
  </si>
  <si>
    <t>Regra disparada (texto)</t>
  </si>
  <si>
    <t>R01</t>
  </si>
  <si>
    <t>Maior cliente acima do limite</t>
  </si>
  <si>
    <t>acima do limite</t>
  </si>
  <si>
    <t>Alta</t>
  </si>
  <si>
    <t>Dependência de um cliente: risco de perda e de pressão sobre preços.</t>
  </si>
  <si>
    <t>Há contrato de longo prazo com este cliente? Com que prazo, preços e cláusula de mudança de controlo (change of control)?</t>
  </si>
  <si>
    <t>Contrato com o cliente; vendas e margem mensais por cliente</t>
  </si>
  <si>
    <t>Perder um cliente grande muda o valor da empresa; uma cláusula de change of control pode deixá-lo sair após a compra.</t>
  </si>
  <si>
    <t>R02</t>
  </si>
  <si>
    <t>Cliente novo com peso relevante nas vendas</t>
  </si>
  <si>
    <t>Vendas a clientes sem vendas no ano anterior / vendas</t>
  </si>
  <si>
    <t>Crescimento que pode vir de uma venda pontual e não da carteira recorrente.</t>
  </si>
  <si>
    <t>As vendas a este cliente repetem-se? Qual a natureza do contrato, o prazo e o que está previsto para o próximo ano?</t>
  </si>
  <si>
    <t>Contrato e faturas do cliente; carteira de encomendas</t>
  </si>
  <si>
    <t>O comprador paga por receita que se repete; uma venda pontual infla o crescimento e o EBITDA.</t>
  </si>
  <si>
    <t>R03</t>
  </si>
  <si>
    <t>Margens</t>
  </si>
  <si>
    <t>Variação forte da margem bruta</t>
  </si>
  <si>
    <t>Margem bruta do ano − ano anterior (p.p.)</t>
  </si>
  <si>
    <t>variação acima do limite</t>
  </si>
  <si>
    <t>O que mudou nos preços, no mix de produtos ou nos custos de compra.</t>
  </si>
  <si>
    <t>O que explica a variação da margem bruta: preços de venda, mix de produtos, custos de compra ou descontos a clientes específicos?</t>
  </si>
  <si>
    <t>Margem por cliente e por linha de produto; tabelas de preços</t>
  </si>
  <si>
    <t>Cada ponto de margem bruta muda diretamente o EBITDA; se a variação for estrutural, o EBITDA futuro muda.</t>
  </si>
  <si>
    <t>R04</t>
  </si>
  <si>
    <t>Qualidade do EBITDA</t>
  </si>
  <si>
    <t>Outros rendimentos relevantes dentro do EBITDA</t>
  </si>
  <si>
    <t>Ganhos pontuais (venda de ativos, subsídios, indemnizações) dentro do EBITDA.</t>
  </si>
  <si>
    <t>Qual o detalhe de outros rendimentos? Inclui ganhos com venda de ativos, subsídios ou outros itens que não se repetem?</t>
  </si>
  <si>
    <t>Razão (extrato) de outros rendimentos; documentos dos itens relevantes</t>
  </si>
  <si>
    <t>Um ganho que não se repete, dentro do EBITDA, aumenta o preço pago por algo que não volta a acontecer.</t>
  </si>
  <si>
    <t>R05</t>
  </si>
  <si>
    <t>Ajustes da gestão elevados</t>
  </si>
  <si>
    <t>Se os ajustes são de facto não recorrentes e têm prova.</t>
  </si>
  <si>
    <t>Que documentos sustentam cada ajuste? Por que cada custo é considerado não recorrente?</t>
  </si>
  <si>
    <t>Faturas e contratos de cada ajuste</t>
  </si>
  <si>
    <t>O EBITDA ajustado é a base do preço; cada ajuste sem prova passa valor do comprador para o vendedor.</t>
  </si>
  <si>
    <t>R06</t>
  </si>
  <si>
    <t>Ajuste 'não recorrente' que se repete todos os anos</t>
  </si>
  <si>
    <t>Nº de ajustes com valor nos 3 anos</t>
  </si>
  <si>
    <t>Média</t>
  </si>
  <si>
    <t>Custos classificados como não recorrentes que, na prática, são recorrentes.</t>
  </si>
  <si>
    <t>Por que este custo aparece todos os anos? O que garante que não se repetirá?</t>
  </si>
  <si>
    <t>Detalhe do ajuste por ano; plano e custos do programa associado</t>
  </si>
  <si>
    <t>Um custo que se repete é recorrente: não deve ser somado ao EBITDA.</t>
  </si>
  <si>
    <t>R07</t>
  </si>
  <si>
    <t>Contas a receber crescem acima das vendas</t>
  </si>
  <si>
    <t>Crescimento de clientes − crescimento das vendas (p.p.)</t>
  </si>
  <si>
    <t>Possível deterioração dos recebimentos ou alargamento de prazos.</t>
  </si>
  <si>
    <t>Como evoluíram os prazos de pagamento e os saldos vencidos? Que clientes explicam o aumento? Houve alargamento de prazos?</t>
  </si>
  <si>
    <t>Aging de clientes nos dois últimos fechos; recebimentos após o fecho</t>
  </si>
  <si>
    <t>Vendas que não se recebem não geram caixa e podem esconder perdas futuras.</t>
  </si>
  <si>
    <t>R08</t>
  </si>
  <si>
    <t>Aumento forte do prazo de recebimento</t>
  </si>
  <si>
    <t>DSO do ano − DSO do ano anterior (dias)</t>
  </si>
  <si>
    <t>Clientes a pagar mais tarde.</t>
  </si>
  <si>
    <t>Por que os clientes estão a pagar mais tarde? Houve mudança de condições de crédito?</t>
  </si>
  <si>
    <t>Aging de clientes; condições de crédito por cliente</t>
  </si>
  <si>
    <t>Prazos maiores prendem caixa e aumentam o risco de incobráveis.</t>
  </si>
  <si>
    <t>R09</t>
  </si>
  <si>
    <t>Inventários crescem acima do CMV</t>
  </si>
  <si>
    <t>Crescimento dos inventários − crescimento do CMV (p.p.)</t>
  </si>
  <si>
    <t>Stock parado ou obsoleto; compras acima das necessidades.</t>
  </si>
  <si>
    <t>Qual a composição e a antiguidade dos stocks? Que encomendas justificam o nível atual? Qual a política de imparidades?</t>
  </si>
  <si>
    <t>Aging de inventários; artigos sem movimento; carteira de encomendas</t>
  </si>
  <si>
    <t>Stock parado prende caixa e pode valer menos do que o registado.</t>
  </si>
  <si>
    <t>R10</t>
  </si>
  <si>
    <t>Fraca conversão do EBITDA em caixa</t>
  </si>
  <si>
    <t>abaixo do limite</t>
  </si>
  <si>
    <t>EBITDA que não se transforma em caixa.</t>
  </si>
  <si>
    <t>Por que o EBITDA não se converteu em caixa? Que rubricas de capital de giro explicam a diferença?</t>
  </si>
  <si>
    <t>Reconciliação entre EBITDA e caixa; mapa mensal de capital de giro</t>
  </si>
  <si>
    <t>O comprador avalia a empresa pelo caixa que ela gera.</t>
  </si>
  <si>
    <t>R11</t>
  </si>
  <si>
    <t>Dívida concentrada nos próximos 12 meses</t>
  </si>
  <si>
    <t>Necessidade de refinanciamento.</t>
  </si>
  <si>
    <t>Existem linhas contratadas ou negociações de refinanciamento em curso? Em que condições?</t>
  </si>
  <si>
    <t>Contratos de financiamento; propostas dos bancos; certificados de covenants</t>
  </si>
  <si>
    <t>Sem refinanciamento, a empresa pode não conseguir pagar a dívida que vence.</t>
  </si>
  <si>
    <t>R12</t>
  </si>
  <si>
    <t>Consistência</t>
  </si>
  <si>
    <t>Balanço não fecha</t>
  </si>
  <si>
    <t>Erro nas demonstrações financeiras.</t>
  </si>
  <si>
    <t>Qual a versão correta do balanço?</t>
  </si>
  <si>
    <t>Balancete e balanço finais</t>
  </si>
  <si>
    <t>Um balanço que não fecha invalida as análises que dependem dele.</t>
  </si>
  <si>
    <t>R13</t>
  </si>
  <si>
    <t>Caixa da DFC não bate com o balanço</t>
  </si>
  <si>
    <t>Erro na DFC ou no balanço.</t>
  </si>
  <si>
    <t>Qual é o valor correto? A DFC é a versão auditada? Há outros erros na informação?</t>
  </si>
  <si>
    <t>DFC corrigida; relatório de auditoria</t>
  </si>
  <si>
    <t>Um erro simples põe em dúvida a qualidade de toda a informação financeira.</t>
  </si>
  <si>
    <t>R14</t>
  </si>
  <si>
    <t>Variações de capital de giro da DFC não batem com o balanço</t>
  </si>
  <si>
    <t>Soma das diferenças nas 5 linhas de capital de giro</t>
  </si>
  <si>
    <t>Linha da DFC preenchida com o valor errado.</t>
  </si>
  <si>
    <t>Qual a variação correta de cada rubrica de capital de giro?</t>
  </si>
  <si>
    <t>DFC corrigida; balancetes de abertura e fecho</t>
  </si>
  <si>
    <t>Se a DFC estiver errada, a conversão de caixa também está.</t>
  </si>
  <si>
    <t>R15</t>
  </si>
  <si>
    <t>Resultado líquido diferente entre demonstrações</t>
  </si>
  <si>
    <t>Maior diferença entre DRE, balanço e DFC</t>
  </si>
  <si>
    <t>Demonstrações de versões diferentes.</t>
  </si>
  <si>
    <t>Qual é o resultado líquido correto de cada ano?</t>
  </si>
  <si>
    <t>Contas finais aprovadas</t>
  </si>
  <si>
    <t>Demonstrações que não batem podem vir de versões diferentes das contas.</t>
  </si>
  <si>
    <t>R16</t>
  </si>
  <si>
    <t>Vendas por cliente não somam as vendas da DRE</t>
  </si>
  <si>
    <t>Soma das vendas por cliente − vendas da DRE</t>
  </si>
  <si>
    <t>Listagem de clientes incompleta ou de outra base.</t>
  </si>
  <si>
    <t>Por que a listagem de vendas por cliente não bate com a DRE?</t>
  </si>
  <si>
    <t>Extração de vendas por cliente reconciliada com a contabilidade</t>
  </si>
  <si>
    <t>As análises de concentração só valem se a base bater com as contas.</t>
  </si>
  <si>
    <t>R17</t>
  </si>
  <si>
    <t>Mapa da dívida não bate com o balanço</t>
  </si>
  <si>
    <t>Diferença no total e na parcela corrente</t>
  </si>
  <si>
    <t>Dívida em falta no mapa ou no balanço.</t>
  </si>
  <si>
    <t>Que financiamentos explicam a diferença entre o mapa e o balanço?</t>
  </si>
  <si>
    <t>Mapa da dívida reconciliado; extratos bancários</t>
  </si>
  <si>
    <t>Dívida não identificada reduz diretamente o valor para o acionista.</t>
  </si>
  <si>
    <t>R18</t>
  </si>
  <si>
    <t>Nº de documentos marcados com 'Não'</t>
  </si>
  <si>
    <t>Sem estes documentos, alguns alertas não podem ser confirmados nem afastados.</t>
  </si>
  <si>
    <t>Podem enviar os documentos em falta?</t>
  </si>
  <si>
    <t>Os documentos listados na evidência</t>
  </si>
  <si>
    <t>O que falta também é um ponto de atenção: limita o que o comprador pode verificar.</t>
  </si>
  <si>
    <t>R19</t>
  </si>
  <si>
    <t>Ganho na venda de ativos dentro do EBITDA</t>
  </si>
  <si>
    <t>Ganhos na alienação de ativos / EBITDA reportado</t>
  </si>
  <si>
    <t>Ganho que não se repete a aumentar o EBITDA.</t>
  </si>
  <si>
    <t>Que ativos foram vendidos? Em que rubrica foi registado o ganho e está incluído no EBITDA apresentado?</t>
  </si>
  <si>
    <t>Contrato ou escritura de venda; registo contabilístico do ganho</t>
  </si>
  <si>
    <t>Um ganho de venda de ativos não se repete; dentro do EBITDA, o comprador pagaria por ele no múltiplo.</t>
  </si>
  <si>
    <t>R20</t>
  </si>
  <si>
    <t>Folga do covenant reduzida</t>
  </si>
  <si>
    <t>1 − (dívida líquida / EBITDA) / limite do covenant</t>
  </si>
  <si>
    <t>Risco de quebra do covenant se o EBITDA comparável for menor do que o reportado.</t>
  </si>
  <si>
    <t>Como o contrato define o EBITDA do covenant? Qual foi a folga nos últimos testes? Já houve pedidos de dispensa (waiver)?</t>
  </si>
  <si>
    <t>Contrato do empréstimo; certificados de cumprimento de covenants</t>
  </si>
  <si>
    <t>A quebra de um covenant pode tornar a dívida exigível de imediato e dá poder negocial aos bancos.</t>
  </si>
  <si>
    <t>Cliente J</t>
  </si>
  <si>
    <t>Custos legais de um litígio encerrado</t>
  </si>
  <si>
    <t>Certificação ISO 9001 (projeto único)</t>
  </si>
  <si>
    <t>Migração do sistema informático (ERP)</t>
  </si>
  <si>
    <t>Dívida!D7</t>
  </si>
  <si>
    <t>Dívida!E7</t>
  </si>
  <si>
    <t>Dívida!I5 (empréstimo bancário, teste anual)</t>
  </si>
  <si>
    <t>Receitas, margens e geração de caixa, com regras de dívida, capital de giro e consistência. Exemplo preenchido: Velmora (empresa fictícia 'limpa', para medir alarmes falsos).</t>
  </si>
  <si>
    <t>Empresa desenhada sem problemas plantados, para medir alarmes falsos. Foi criada por quem conhece as regras: zero alertas é um teste de sanidade, não uma medida independente.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</si>
</sst>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0.0\x"/>
    <numFmt numFmtId="166" formatCode="0.0%;\-0.0%;\-"/>
    <numFmt numFmtId="167" formatCode="0.0&quot; p.p.&quot;;\-0.0&quot; p.p.&quot;;&quot;0,0 p.p.&quot;"/>
    <numFmt numFmtId="168" formatCode="0.0&quot; dias&quot;;\-0.0&quot; dias&quot;;&quot;0 dias&quot;"/>
    <numFmt numFmtId="169" formatCode="0.00\x"/>
    <numFmt numFmtId="170" formatCode="0&quot; p.p.&quot;"/>
    <numFmt numFmtId="171" formatCode="0&quot; dias&quot;"/>
    <numFmt numFmtId="172" formatCode="0&quot; mil €&quot;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sz val="8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theme="1"/>
      <name val="Arial"/>
      <charset val="1"/>
    </font>
    <font>
      <sz val="11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3" fillId="4" borderId="0" xfId="0" applyFont="1" applyFill="1"/>
    <xf numFmtId="0" fontId="9" fillId="4" borderId="0" xfId="0" applyFont="1" applyFill="1"/>
    <xf numFmtId="0" fontId="4" fillId="0" borderId="0" xfId="0" applyFont="1" applyAlignment="1">
      <alignment indent="1"/>
    </xf>
    <xf numFmtId="0" fontId="9" fillId="5" borderId="0" xfId="0" applyFont="1" applyFill="1"/>
    <xf numFmtId="164" fontId="8" fillId="3" borderId="0" xfId="0" applyNumberFormat="1" applyFont="1" applyFill="1"/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indent="1"/>
    </xf>
    <xf numFmtId="0" fontId="8" fillId="3" borderId="0" xfId="0" applyFont="1" applyFill="1" applyAlignment="1">
      <alignment indent="1"/>
    </xf>
    <xf numFmtId="165" fontId="8" fillId="3" borderId="0" xfId="0" applyNumberFormat="1" applyFont="1" applyFill="1"/>
    <xf numFmtId="0" fontId="8" fillId="3" borderId="0" xfId="0" applyFont="1" applyFill="1" applyAlignment="1">
      <alignment horizontal="center"/>
    </xf>
    <xf numFmtId="0" fontId="10" fillId="4" borderId="0" xfId="0" applyFont="1" applyFill="1"/>
    <xf numFmtId="164" fontId="4" fillId="0" borderId="0" xfId="0" applyNumberFormat="1" applyFont="1"/>
    <xf numFmtId="0" fontId="4" fillId="0" borderId="0" xfId="0" applyFont="1" applyAlignment="1">
      <alignment horizontal="right"/>
    </xf>
    <xf numFmtId="166" fontId="4" fillId="0" borderId="0" xfId="0" applyNumberFormat="1" applyFont="1"/>
    <xf numFmtId="49" fontId="4" fillId="0" borderId="0" xfId="0" applyNumberFormat="1" applyFont="1"/>
    <xf numFmtId="167" fontId="4" fillId="0" borderId="0" xfId="0" applyNumberFormat="1" applyFont="1"/>
    <xf numFmtId="1" fontId="4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0" fontId="10" fillId="0" borderId="0" xfId="0" applyFont="1"/>
    <xf numFmtId="0" fontId="10" fillId="0" borderId="0" xfId="0" applyFont="1" applyAlignment="1">
      <alignment indent="1"/>
    </xf>
    <xf numFmtId="0" fontId="10" fillId="0" borderId="0" xfId="0" applyFont="1" applyAlignment="1">
      <alignment horizontal="right"/>
    </xf>
    <xf numFmtId="164" fontId="10" fillId="0" borderId="0" xfId="0" applyNumberFormat="1" applyFont="1"/>
    <xf numFmtId="9" fontId="8" fillId="3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horizontal="right" vertical="top"/>
    </xf>
    <xf numFmtId="170" fontId="8" fillId="3" borderId="1" xfId="0" applyNumberFormat="1" applyFont="1" applyFill="1" applyBorder="1" applyAlignment="1">
      <alignment vertical="top" wrapText="1"/>
    </xf>
    <xf numFmtId="167" fontId="4" fillId="0" borderId="1" xfId="0" applyNumberFormat="1" applyFont="1" applyBorder="1" applyAlignment="1">
      <alignment horizontal="right" vertical="top"/>
    </xf>
    <xf numFmtId="1" fontId="8" fillId="3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horizontal="right" vertical="top"/>
    </xf>
    <xf numFmtId="171" fontId="8" fillId="3" borderId="1" xfId="0" applyNumberFormat="1" applyFont="1" applyFill="1" applyBorder="1" applyAlignment="1">
      <alignment vertical="top" wrapText="1"/>
    </xf>
    <xf numFmtId="168" fontId="4" fillId="0" borderId="1" xfId="0" applyNumberFormat="1" applyFont="1" applyBorder="1" applyAlignment="1">
      <alignment horizontal="right" vertical="top"/>
    </xf>
    <xf numFmtId="172" fontId="8" fillId="3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zoomScaleNormal="100" workbookViewId="0"/>
  </sheetViews>
  <sheetFormatPr defaultColWidth="8.69140625" defaultRowHeight="14.6" x14ac:dyDescent="0.4"/>
  <cols>
    <col min="1" max="1" width="26" customWidth="1"/>
    <col min="2" max="2" width="100" customWidth="1"/>
  </cols>
  <sheetData>
    <row r="1" spans="1:2" ht="17.600000000000001" x14ac:dyDescent="0.4">
      <c r="A1" s="1" t="s">
        <v>0</v>
      </c>
    </row>
    <row r="2" spans="1:2" x14ac:dyDescent="0.4">
      <c r="A2" s="2" t="s">
        <v>440</v>
      </c>
    </row>
    <row r="4" spans="1:2" ht="40.5" customHeight="1" x14ac:dyDescent="0.4">
      <c r="A4" s="3" t="s">
        <v>1</v>
      </c>
      <c r="B4" s="4" t="s">
        <v>2</v>
      </c>
    </row>
    <row r="5" spans="1:2" ht="27" customHeight="1" x14ac:dyDescent="0.4">
      <c r="A5" s="3" t="s">
        <v>3</v>
      </c>
      <c r="B5" s="4" t="s">
        <v>4</v>
      </c>
    </row>
    <row r="6" spans="1:2" ht="27" customHeight="1" x14ac:dyDescent="0.4">
      <c r="A6" s="3" t="s">
        <v>5</v>
      </c>
      <c r="B6" s="4" t="s">
        <v>6</v>
      </c>
    </row>
    <row r="7" spans="1:2" ht="27" customHeight="1" x14ac:dyDescent="0.4">
      <c r="A7" s="3" t="s">
        <v>7</v>
      </c>
      <c r="B7" s="4" t="s">
        <v>8</v>
      </c>
    </row>
    <row r="8" spans="1:2" ht="40.5" customHeight="1" x14ac:dyDescent="0.4">
      <c r="A8" s="3" t="s">
        <v>9</v>
      </c>
      <c r="B8" s="4" t="s">
        <v>10</v>
      </c>
    </row>
    <row r="9" spans="1:2" ht="27" customHeight="1" x14ac:dyDescent="0.4">
      <c r="A9" s="3" t="s">
        <v>11</v>
      </c>
      <c r="B9" s="4" t="s">
        <v>12</v>
      </c>
    </row>
    <row r="10" spans="1:2" ht="27" customHeight="1" x14ac:dyDescent="0.4">
      <c r="A10" s="3" t="s">
        <v>13</v>
      </c>
      <c r="B10" s="4" t="s">
        <v>441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9140625" defaultRowHeight="14.6" x14ac:dyDescent="0.4"/>
  <cols>
    <col min="1" max="1" width="5" customWidth="1"/>
    <col min="2" max="2" width="8" customWidth="1"/>
    <col min="3" max="3" width="15" customWidth="1"/>
    <col min="4" max="4" width="10" customWidth="1"/>
    <col min="5" max="5" width="52" customWidth="1"/>
    <col min="6" max="7" width="30" customWidth="1"/>
    <col min="8" max="8" width="10" customWidth="1"/>
    <col min="9" max="9" width="42" customWidth="1"/>
    <col min="10" max="10" width="30" customWidth="1"/>
    <col min="11" max="11" width="13" customWidth="1"/>
    <col min="12" max="12" width="26" customWidth="1"/>
  </cols>
  <sheetData>
    <row r="1" spans="1:14" ht="17.600000000000001" x14ac:dyDescent="0.4">
      <c r="A1" s="1" t="s">
        <v>14</v>
      </c>
    </row>
    <row r="2" spans="1:14" x14ac:dyDescent="0.4">
      <c r="A2" s="2" t="s">
        <v>15</v>
      </c>
    </row>
    <row r="3" spans="1:14" ht="15.45" x14ac:dyDescent="0.4">
      <c r="E3" s="5" t="str">
        <f>"Alertas: "&amp;$N$3&amp;"   ·   Alta: "&amp;COUNTIFS(Regras!M5:M24,"Sim",Regras!O5:O24,"Alta")&amp;"   ·   Média: "&amp;COUNTIFS(Regras!M5:M24,"Sim",Regras!O5:O24,"Média")&amp;"   ·   Baixa: "&amp;COUNTIFS(Regras!M5:M24,"Sim",Regras!O5:O24,"Baixa")&amp;"   ·   Por rever: "&amp;($N$3-COUNTIF(K6:K25,"Aceite")-COUNTIF(K6:K25,"Descartado"))</f>
        <v>Alertas: 0   ·   Alta: 0   ·   Média: 0   ·   Baixa: 0   ·   Por rever: 0</v>
      </c>
      <c r="N3" s="6">
        <f>COUNTIF(Regras!M5:M24,"Sim")</f>
        <v>0</v>
      </c>
    </row>
    <row r="5" spans="1:14" ht="24.9" x14ac:dyDescent="0.4">
      <c r="A5" s="7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  <c r="J5" s="8" t="s">
        <v>25</v>
      </c>
      <c r="K5" s="8" t="s">
        <v>26</v>
      </c>
      <c r="L5" s="8" t="s">
        <v>27</v>
      </c>
    </row>
    <row r="6" spans="1:14" ht="79.5" customHeight="1" x14ac:dyDescent="0.4">
      <c r="A6" s="9" t="str">
        <f>IF(1&lt;=$N$3,1,"")</f>
        <v/>
      </c>
      <c r="B6" s="10" t="str">
        <f>IF($A6="","",INDEX(Regras!$A$5:$A$24,MATCH($A6,Regras!$P$5:$P$24,0)))</f>
        <v/>
      </c>
      <c r="C6" s="10" t="str">
        <f>IF($A6="","",INDEX(Regras!$B$5:$B$24,MATCH($A6,Regras!$P$5:$P$24,0)))</f>
        <v/>
      </c>
      <c r="D6" s="10" t="str">
        <f>IF($A6="","",INDEX(Regras!$N$5:$N$24,MATCH($A6,Regras!$P$5:$P$24,0)))</f>
        <v/>
      </c>
      <c r="E6" s="10" t="str">
        <f>IF($A6="","",INDEX(Regras!$Q$5:$Q$24,MATCH($A6,Regras!$P$5:$P$24,0)))</f>
        <v/>
      </c>
      <c r="F6" s="10" t="str">
        <f>IF($A6="","",INDEX(Regras!$D$5:$D$24,MATCH($A6,Regras!$P$5:$P$24,0))&amp;CHAR(10)&amp;"Regra: "&amp;INDEX(Regras!$V$5:$V$24,MATCH($A6,Regras!$P$5:$P$24,0)))</f>
        <v/>
      </c>
      <c r="G6" s="10" t="str">
        <f>IF($A6="","",INDEX(Regras!$R$5:$R$24,MATCH($A6,Regras!$P$5:$P$24,0)))</f>
        <v/>
      </c>
      <c r="H6" s="9" t="str">
        <f>IF($A6="","",INDEX(Regras!$O$5:$O$24,MATCH($A6,Regras!$P$5:$P$24,0)))</f>
        <v/>
      </c>
      <c r="I6" s="10" t="str">
        <f>IF($A6="","",INDEX(Regras!$S$5:$S$24,MATCH($A6,Regras!$P$5:$P$24,0)))</f>
        <v/>
      </c>
      <c r="J6" s="10" t="str">
        <f>IF($A6="","",INDEX(Regras!$T$5:$T$24,MATCH($A6,Regras!$P$5:$P$24,0)))</f>
        <v/>
      </c>
      <c r="K6" s="11"/>
      <c r="L6" s="11"/>
    </row>
    <row r="7" spans="1:14" ht="79.5" customHeight="1" x14ac:dyDescent="0.4">
      <c r="A7" s="9" t="str">
        <f>IF(2&lt;=$N$3,2,"")</f>
        <v/>
      </c>
      <c r="B7" s="10" t="str">
        <f>IF($A7="","",INDEX(Regras!$A$5:$A$24,MATCH($A7,Regras!$P$5:$P$24,0)))</f>
        <v/>
      </c>
      <c r="C7" s="10" t="str">
        <f>IF($A7="","",INDEX(Regras!$B$5:$B$24,MATCH($A7,Regras!$P$5:$P$24,0)))</f>
        <v/>
      </c>
      <c r="D7" s="10" t="str">
        <f>IF($A7="","",INDEX(Regras!$N$5:$N$24,MATCH($A7,Regras!$P$5:$P$24,0)))</f>
        <v/>
      </c>
      <c r="E7" s="10" t="str">
        <f>IF($A7="","",INDEX(Regras!$Q$5:$Q$24,MATCH($A7,Regras!$P$5:$P$24,0)))</f>
        <v/>
      </c>
      <c r="F7" s="10" t="str">
        <f>IF($A7="","",INDEX(Regras!$D$5:$D$24,MATCH($A7,Regras!$P$5:$P$24,0))&amp;CHAR(10)&amp;"Regra: "&amp;INDEX(Regras!$V$5:$V$24,MATCH($A7,Regras!$P$5:$P$24,0)))</f>
        <v/>
      </c>
      <c r="G7" s="10" t="str">
        <f>IF($A7="","",INDEX(Regras!$R$5:$R$24,MATCH($A7,Regras!$P$5:$P$24,0)))</f>
        <v/>
      </c>
      <c r="H7" s="9" t="str">
        <f>IF($A7="","",INDEX(Regras!$O$5:$O$24,MATCH($A7,Regras!$P$5:$P$24,0)))</f>
        <v/>
      </c>
      <c r="I7" s="10" t="str">
        <f>IF($A7="","",INDEX(Regras!$S$5:$S$24,MATCH($A7,Regras!$P$5:$P$24,0)))</f>
        <v/>
      </c>
      <c r="J7" s="10" t="str">
        <f>IF($A7="","",INDEX(Regras!$T$5:$T$24,MATCH($A7,Regras!$P$5:$P$24,0)))</f>
        <v/>
      </c>
      <c r="K7" s="11"/>
      <c r="L7" s="11"/>
    </row>
    <row r="8" spans="1:14" ht="79.5" customHeight="1" x14ac:dyDescent="0.4">
      <c r="A8" s="9" t="str">
        <f>IF(3&lt;=$N$3,3,"")</f>
        <v/>
      </c>
      <c r="B8" s="10" t="str">
        <f>IF($A8="","",INDEX(Regras!$A$5:$A$24,MATCH($A8,Regras!$P$5:$P$24,0)))</f>
        <v/>
      </c>
      <c r="C8" s="10" t="str">
        <f>IF($A8="","",INDEX(Regras!$B$5:$B$24,MATCH($A8,Regras!$P$5:$P$24,0)))</f>
        <v/>
      </c>
      <c r="D8" s="10" t="str">
        <f>IF($A8="","",INDEX(Regras!$N$5:$N$24,MATCH($A8,Regras!$P$5:$P$24,0)))</f>
        <v/>
      </c>
      <c r="E8" s="10" t="str">
        <f>IF($A8="","",INDEX(Regras!$Q$5:$Q$24,MATCH($A8,Regras!$P$5:$P$24,0)))</f>
        <v/>
      </c>
      <c r="F8" s="10" t="str">
        <f>IF($A8="","",INDEX(Regras!$D$5:$D$24,MATCH($A8,Regras!$P$5:$P$24,0))&amp;CHAR(10)&amp;"Regra: "&amp;INDEX(Regras!$V$5:$V$24,MATCH($A8,Regras!$P$5:$P$24,0)))</f>
        <v/>
      </c>
      <c r="G8" s="10" t="str">
        <f>IF($A8="","",INDEX(Regras!$R$5:$R$24,MATCH($A8,Regras!$P$5:$P$24,0)))</f>
        <v/>
      </c>
      <c r="H8" s="9" t="str">
        <f>IF($A8="","",INDEX(Regras!$O$5:$O$24,MATCH($A8,Regras!$P$5:$P$24,0)))</f>
        <v/>
      </c>
      <c r="I8" s="10" t="str">
        <f>IF($A8="","",INDEX(Regras!$S$5:$S$24,MATCH($A8,Regras!$P$5:$P$24,0)))</f>
        <v/>
      </c>
      <c r="J8" s="10" t="str">
        <f>IF($A8="","",INDEX(Regras!$T$5:$T$24,MATCH($A8,Regras!$P$5:$P$24,0)))</f>
        <v/>
      </c>
      <c r="K8" s="11"/>
      <c r="L8" s="11"/>
    </row>
    <row r="9" spans="1:14" ht="79.5" customHeight="1" x14ac:dyDescent="0.4">
      <c r="A9" s="9" t="str">
        <f>IF(4&lt;=$N$3,4,"")</f>
        <v/>
      </c>
      <c r="B9" s="10" t="str">
        <f>IF($A9="","",INDEX(Regras!$A$5:$A$24,MATCH($A9,Regras!$P$5:$P$24,0)))</f>
        <v/>
      </c>
      <c r="C9" s="10" t="str">
        <f>IF($A9="","",INDEX(Regras!$B$5:$B$24,MATCH($A9,Regras!$P$5:$P$24,0)))</f>
        <v/>
      </c>
      <c r="D9" s="10" t="str">
        <f>IF($A9="","",INDEX(Regras!$N$5:$N$24,MATCH($A9,Regras!$P$5:$P$24,0)))</f>
        <v/>
      </c>
      <c r="E9" s="10" t="str">
        <f>IF($A9="","",INDEX(Regras!$Q$5:$Q$24,MATCH($A9,Regras!$P$5:$P$24,0)))</f>
        <v/>
      </c>
      <c r="F9" s="10" t="str">
        <f>IF($A9="","",INDEX(Regras!$D$5:$D$24,MATCH($A9,Regras!$P$5:$P$24,0))&amp;CHAR(10)&amp;"Regra: "&amp;INDEX(Regras!$V$5:$V$24,MATCH($A9,Regras!$P$5:$P$24,0)))</f>
        <v/>
      </c>
      <c r="G9" s="10" t="str">
        <f>IF($A9="","",INDEX(Regras!$R$5:$R$24,MATCH($A9,Regras!$P$5:$P$24,0)))</f>
        <v/>
      </c>
      <c r="H9" s="9" t="str">
        <f>IF($A9="","",INDEX(Regras!$O$5:$O$24,MATCH($A9,Regras!$P$5:$P$24,0)))</f>
        <v/>
      </c>
      <c r="I9" s="10" t="str">
        <f>IF($A9="","",INDEX(Regras!$S$5:$S$24,MATCH($A9,Regras!$P$5:$P$24,0)))</f>
        <v/>
      </c>
      <c r="J9" s="10" t="str">
        <f>IF($A9="","",INDEX(Regras!$T$5:$T$24,MATCH($A9,Regras!$P$5:$P$24,0)))</f>
        <v/>
      </c>
      <c r="K9" s="11"/>
      <c r="L9" s="11"/>
    </row>
    <row r="10" spans="1:14" ht="79.5" customHeight="1" x14ac:dyDescent="0.4">
      <c r="A10" s="9" t="str">
        <f>IF(5&lt;=$N$3,5,"")</f>
        <v/>
      </c>
      <c r="B10" s="10" t="str">
        <f>IF($A10="","",INDEX(Regras!$A$5:$A$24,MATCH($A10,Regras!$P$5:$P$24,0)))</f>
        <v/>
      </c>
      <c r="C10" s="10" t="str">
        <f>IF($A10="","",INDEX(Regras!$B$5:$B$24,MATCH($A10,Regras!$P$5:$P$24,0)))</f>
        <v/>
      </c>
      <c r="D10" s="10" t="str">
        <f>IF($A10="","",INDEX(Regras!$N$5:$N$24,MATCH($A10,Regras!$P$5:$P$24,0)))</f>
        <v/>
      </c>
      <c r="E10" s="10" t="str">
        <f>IF($A10="","",INDEX(Regras!$Q$5:$Q$24,MATCH($A10,Regras!$P$5:$P$24,0)))</f>
        <v/>
      </c>
      <c r="F10" s="10" t="str">
        <f>IF($A10="","",INDEX(Regras!$D$5:$D$24,MATCH($A10,Regras!$P$5:$P$24,0))&amp;CHAR(10)&amp;"Regra: "&amp;INDEX(Regras!$V$5:$V$24,MATCH($A10,Regras!$P$5:$P$24,0)))</f>
        <v/>
      </c>
      <c r="G10" s="10" t="str">
        <f>IF($A10="","",INDEX(Regras!$R$5:$R$24,MATCH($A10,Regras!$P$5:$P$24,0)))</f>
        <v/>
      </c>
      <c r="H10" s="9" t="str">
        <f>IF($A10="","",INDEX(Regras!$O$5:$O$24,MATCH($A10,Regras!$P$5:$P$24,0)))</f>
        <v/>
      </c>
      <c r="I10" s="10" t="str">
        <f>IF($A10="","",INDEX(Regras!$S$5:$S$24,MATCH($A10,Regras!$P$5:$P$24,0)))</f>
        <v/>
      </c>
      <c r="J10" s="10" t="str">
        <f>IF($A10="","",INDEX(Regras!$T$5:$T$24,MATCH($A10,Regras!$P$5:$P$24,0)))</f>
        <v/>
      </c>
      <c r="K10" s="11"/>
      <c r="L10" s="11"/>
    </row>
    <row r="11" spans="1:14" ht="79.5" customHeight="1" x14ac:dyDescent="0.4">
      <c r="A11" s="9" t="str">
        <f>IF(6&lt;=$N$3,6,"")</f>
        <v/>
      </c>
      <c r="B11" s="10" t="str">
        <f>IF($A11="","",INDEX(Regras!$A$5:$A$24,MATCH($A11,Regras!$P$5:$P$24,0)))</f>
        <v/>
      </c>
      <c r="C11" s="10" t="str">
        <f>IF($A11="","",INDEX(Regras!$B$5:$B$24,MATCH($A11,Regras!$P$5:$P$24,0)))</f>
        <v/>
      </c>
      <c r="D11" s="10" t="str">
        <f>IF($A11="","",INDEX(Regras!$N$5:$N$24,MATCH($A11,Regras!$P$5:$P$24,0)))</f>
        <v/>
      </c>
      <c r="E11" s="10" t="str">
        <f>IF($A11="","",INDEX(Regras!$Q$5:$Q$24,MATCH($A11,Regras!$P$5:$P$24,0)))</f>
        <v/>
      </c>
      <c r="F11" s="10" t="str">
        <f>IF($A11="","",INDEX(Regras!$D$5:$D$24,MATCH($A11,Regras!$P$5:$P$24,0))&amp;CHAR(10)&amp;"Regra: "&amp;INDEX(Regras!$V$5:$V$24,MATCH($A11,Regras!$P$5:$P$24,0)))</f>
        <v/>
      </c>
      <c r="G11" s="10" t="str">
        <f>IF($A11="","",INDEX(Regras!$R$5:$R$24,MATCH($A11,Regras!$P$5:$P$24,0)))</f>
        <v/>
      </c>
      <c r="H11" s="9" t="str">
        <f>IF($A11="","",INDEX(Regras!$O$5:$O$24,MATCH($A11,Regras!$P$5:$P$24,0)))</f>
        <v/>
      </c>
      <c r="I11" s="10" t="str">
        <f>IF($A11="","",INDEX(Regras!$S$5:$S$24,MATCH($A11,Regras!$P$5:$P$24,0)))</f>
        <v/>
      </c>
      <c r="J11" s="10" t="str">
        <f>IF($A11="","",INDEX(Regras!$T$5:$T$24,MATCH($A11,Regras!$P$5:$P$24,0)))</f>
        <v/>
      </c>
      <c r="K11" s="11"/>
      <c r="L11" s="11"/>
    </row>
    <row r="12" spans="1:14" ht="79.5" customHeight="1" x14ac:dyDescent="0.4">
      <c r="A12" s="9" t="str">
        <f>IF(7&lt;=$N$3,7,"")</f>
        <v/>
      </c>
      <c r="B12" s="10" t="str">
        <f>IF($A12="","",INDEX(Regras!$A$5:$A$24,MATCH($A12,Regras!$P$5:$P$24,0)))</f>
        <v/>
      </c>
      <c r="C12" s="10" t="str">
        <f>IF($A12="","",INDEX(Regras!$B$5:$B$24,MATCH($A12,Regras!$P$5:$P$24,0)))</f>
        <v/>
      </c>
      <c r="D12" s="10" t="str">
        <f>IF($A12="","",INDEX(Regras!$N$5:$N$24,MATCH($A12,Regras!$P$5:$P$24,0)))</f>
        <v/>
      </c>
      <c r="E12" s="10" t="str">
        <f>IF($A12="","",INDEX(Regras!$Q$5:$Q$24,MATCH($A12,Regras!$P$5:$P$24,0)))</f>
        <v/>
      </c>
      <c r="F12" s="10" t="str">
        <f>IF($A12="","",INDEX(Regras!$D$5:$D$24,MATCH($A12,Regras!$P$5:$P$24,0))&amp;CHAR(10)&amp;"Regra: "&amp;INDEX(Regras!$V$5:$V$24,MATCH($A12,Regras!$P$5:$P$24,0)))</f>
        <v/>
      </c>
      <c r="G12" s="10" t="str">
        <f>IF($A12="","",INDEX(Regras!$R$5:$R$24,MATCH($A12,Regras!$P$5:$P$24,0)))</f>
        <v/>
      </c>
      <c r="H12" s="9" t="str">
        <f>IF($A12="","",INDEX(Regras!$O$5:$O$24,MATCH($A12,Regras!$P$5:$P$24,0)))</f>
        <v/>
      </c>
      <c r="I12" s="10" t="str">
        <f>IF($A12="","",INDEX(Regras!$S$5:$S$24,MATCH($A12,Regras!$P$5:$P$24,0)))</f>
        <v/>
      </c>
      <c r="J12" s="10" t="str">
        <f>IF($A12="","",INDEX(Regras!$T$5:$T$24,MATCH($A12,Regras!$P$5:$P$24,0)))</f>
        <v/>
      </c>
      <c r="K12" s="11"/>
      <c r="L12" s="11"/>
    </row>
    <row r="13" spans="1:14" ht="79.5" customHeight="1" x14ac:dyDescent="0.4">
      <c r="A13" s="9" t="str">
        <f>IF(8&lt;=$N$3,8,"")</f>
        <v/>
      </c>
      <c r="B13" s="10" t="str">
        <f>IF($A13="","",INDEX(Regras!$A$5:$A$24,MATCH($A13,Regras!$P$5:$P$24,0)))</f>
        <v/>
      </c>
      <c r="C13" s="10" t="str">
        <f>IF($A13="","",INDEX(Regras!$B$5:$B$24,MATCH($A13,Regras!$P$5:$P$24,0)))</f>
        <v/>
      </c>
      <c r="D13" s="10" t="str">
        <f>IF($A13="","",INDEX(Regras!$N$5:$N$24,MATCH($A13,Regras!$P$5:$P$24,0)))</f>
        <v/>
      </c>
      <c r="E13" s="10" t="str">
        <f>IF($A13="","",INDEX(Regras!$Q$5:$Q$24,MATCH($A13,Regras!$P$5:$P$24,0)))</f>
        <v/>
      </c>
      <c r="F13" s="10" t="str">
        <f>IF($A13="","",INDEX(Regras!$D$5:$D$24,MATCH($A13,Regras!$P$5:$P$24,0))&amp;CHAR(10)&amp;"Regra: "&amp;INDEX(Regras!$V$5:$V$24,MATCH($A13,Regras!$P$5:$P$24,0)))</f>
        <v/>
      </c>
      <c r="G13" s="10" t="str">
        <f>IF($A13="","",INDEX(Regras!$R$5:$R$24,MATCH($A13,Regras!$P$5:$P$24,0)))</f>
        <v/>
      </c>
      <c r="H13" s="9" t="str">
        <f>IF($A13="","",INDEX(Regras!$O$5:$O$24,MATCH($A13,Regras!$P$5:$P$24,0)))</f>
        <v/>
      </c>
      <c r="I13" s="10" t="str">
        <f>IF($A13="","",INDEX(Regras!$S$5:$S$24,MATCH($A13,Regras!$P$5:$P$24,0)))</f>
        <v/>
      </c>
      <c r="J13" s="10" t="str">
        <f>IF($A13="","",INDEX(Regras!$T$5:$T$24,MATCH($A13,Regras!$P$5:$P$24,0)))</f>
        <v/>
      </c>
      <c r="K13" s="11"/>
      <c r="L13" s="11"/>
    </row>
    <row r="14" spans="1:14" ht="79.5" customHeight="1" x14ac:dyDescent="0.4">
      <c r="A14" s="9" t="str">
        <f>IF(9&lt;=$N$3,9,"")</f>
        <v/>
      </c>
      <c r="B14" s="10" t="str">
        <f>IF($A14="","",INDEX(Regras!$A$5:$A$24,MATCH($A14,Regras!$P$5:$P$24,0)))</f>
        <v/>
      </c>
      <c r="C14" s="10" t="str">
        <f>IF($A14="","",INDEX(Regras!$B$5:$B$24,MATCH($A14,Regras!$P$5:$P$24,0)))</f>
        <v/>
      </c>
      <c r="D14" s="10" t="str">
        <f>IF($A14="","",INDEX(Regras!$N$5:$N$24,MATCH($A14,Regras!$P$5:$P$24,0)))</f>
        <v/>
      </c>
      <c r="E14" s="10" t="str">
        <f>IF($A14="","",INDEX(Regras!$Q$5:$Q$24,MATCH($A14,Regras!$P$5:$P$24,0)))</f>
        <v/>
      </c>
      <c r="F14" s="10" t="str">
        <f>IF($A14="","",INDEX(Regras!$D$5:$D$24,MATCH($A14,Regras!$P$5:$P$24,0))&amp;CHAR(10)&amp;"Regra: "&amp;INDEX(Regras!$V$5:$V$24,MATCH($A14,Regras!$P$5:$P$24,0)))</f>
        <v/>
      </c>
      <c r="G14" s="10" t="str">
        <f>IF($A14="","",INDEX(Regras!$R$5:$R$24,MATCH($A14,Regras!$P$5:$P$24,0)))</f>
        <v/>
      </c>
      <c r="H14" s="9" t="str">
        <f>IF($A14="","",INDEX(Regras!$O$5:$O$24,MATCH($A14,Regras!$P$5:$P$24,0)))</f>
        <v/>
      </c>
      <c r="I14" s="10" t="str">
        <f>IF($A14="","",INDEX(Regras!$S$5:$S$24,MATCH($A14,Regras!$P$5:$P$24,0)))</f>
        <v/>
      </c>
      <c r="J14" s="10" t="str">
        <f>IF($A14="","",INDEX(Regras!$T$5:$T$24,MATCH($A14,Regras!$P$5:$P$24,0)))</f>
        <v/>
      </c>
      <c r="K14" s="11"/>
      <c r="L14" s="11"/>
    </row>
    <row r="15" spans="1:14" ht="79.5" customHeight="1" x14ac:dyDescent="0.4">
      <c r="A15" s="9" t="str">
        <f>IF(10&lt;=$N$3,10,"")</f>
        <v/>
      </c>
      <c r="B15" s="10" t="str">
        <f>IF($A15="","",INDEX(Regras!$A$5:$A$24,MATCH($A15,Regras!$P$5:$P$24,0)))</f>
        <v/>
      </c>
      <c r="C15" s="10" t="str">
        <f>IF($A15="","",INDEX(Regras!$B$5:$B$24,MATCH($A15,Regras!$P$5:$P$24,0)))</f>
        <v/>
      </c>
      <c r="D15" s="10" t="str">
        <f>IF($A15="","",INDEX(Regras!$N$5:$N$24,MATCH($A15,Regras!$P$5:$P$24,0)))</f>
        <v/>
      </c>
      <c r="E15" s="10" t="str">
        <f>IF($A15="","",INDEX(Regras!$Q$5:$Q$24,MATCH($A15,Regras!$P$5:$P$24,0)))</f>
        <v/>
      </c>
      <c r="F15" s="10" t="str">
        <f>IF($A15="","",INDEX(Regras!$D$5:$D$24,MATCH($A15,Regras!$P$5:$P$24,0))&amp;CHAR(10)&amp;"Regra: "&amp;INDEX(Regras!$V$5:$V$24,MATCH($A15,Regras!$P$5:$P$24,0)))</f>
        <v/>
      </c>
      <c r="G15" s="10" t="str">
        <f>IF($A15="","",INDEX(Regras!$R$5:$R$24,MATCH($A15,Regras!$P$5:$P$24,0)))</f>
        <v/>
      </c>
      <c r="H15" s="9" t="str">
        <f>IF($A15="","",INDEX(Regras!$O$5:$O$24,MATCH($A15,Regras!$P$5:$P$24,0)))</f>
        <v/>
      </c>
      <c r="I15" s="10" t="str">
        <f>IF($A15="","",INDEX(Regras!$S$5:$S$24,MATCH($A15,Regras!$P$5:$P$24,0)))</f>
        <v/>
      </c>
      <c r="J15" s="10" t="str">
        <f>IF($A15="","",INDEX(Regras!$T$5:$T$24,MATCH($A15,Regras!$P$5:$P$24,0)))</f>
        <v/>
      </c>
      <c r="K15" s="11"/>
      <c r="L15" s="11"/>
    </row>
    <row r="16" spans="1:14" ht="79.5" customHeight="1" x14ac:dyDescent="0.4">
      <c r="A16" s="9" t="str">
        <f>IF(11&lt;=$N$3,11,"")</f>
        <v/>
      </c>
      <c r="B16" s="10" t="str">
        <f>IF($A16="","",INDEX(Regras!$A$5:$A$24,MATCH($A16,Regras!$P$5:$P$24,0)))</f>
        <v/>
      </c>
      <c r="C16" s="10" t="str">
        <f>IF($A16="","",INDEX(Regras!$B$5:$B$24,MATCH($A16,Regras!$P$5:$P$24,0)))</f>
        <v/>
      </c>
      <c r="D16" s="10" t="str">
        <f>IF($A16="","",INDEX(Regras!$N$5:$N$24,MATCH($A16,Regras!$P$5:$P$24,0)))</f>
        <v/>
      </c>
      <c r="E16" s="10" t="str">
        <f>IF($A16="","",INDEX(Regras!$Q$5:$Q$24,MATCH($A16,Regras!$P$5:$P$24,0)))</f>
        <v/>
      </c>
      <c r="F16" s="10" t="str">
        <f>IF($A16="","",INDEX(Regras!$D$5:$D$24,MATCH($A16,Regras!$P$5:$P$24,0))&amp;CHAR(10)&amp;"Regra: "&amp;INDEX(Regras!$V$5:$V$24,MATCH($A16,Regras!$P$5:$P$24,0)))</f>
        <v/>
      </c>
      <c r="G16" s="10" t="str">
        <f>IF($A16="","",INDEX(Regras!$R$5:$R$24,MATCH($A16,Regras!$P$5:$P$24,0)))</f>
        <v/>
      </c>
      <c r="H16" s="9" t="str">
        <f>IF($A16="","",INDEX(Regras!$O$5:$O$24,MATCH($A16,Regras!$P$5:$P$24,0)))</f>
        <v/>
      </c>
      <c r="I16" s="10" t="str">
        <f>IF($A16="","",INDEX(Regras!$S$5:$S$24,MATCH($A16,Regras!$P$5:$P$24,0)))</f>
        <v/>
      </c>
      <c r="J16" s="10" t="str">
        <f>IF($A16="","",INDEX(Regras!$T$5:$T$24,MATCH($A16,Regras!$P$5:$P$24,0)))</f>
        <v/>
      </c>
      <c r="K16" s="11"/>
      <c r="L16" s="11"/>
    </row>
    <row r="17" spans="1:12" ht="79.5" customHeight="1" x14ac:dyDescent="0.4">
      <c r="A17" s="9" t="str">
        <f>IF(12&lt;=$N$3,12,"")</f>
        <v/>
      </c>
      <c r="B17" s="10" t="str">
        <f>IF($A17="","",INDEX(Regras!$A$5:$A$24,MATCH($A17,Regras!$P$5:$P$24,0)))</f>
        <v/>
      </c>
      <c r="C17" s="10" t="str">
        <f>IF($A17="","",INDEX(Regras!$B$5:$B$24,MATCH($A17,Regras!$P$5:$P$24,0)))</f>
        <v/>
      </c>
      <c r="D17" s="10" t="str">
        <f>IF($A17="","",INDEX(Regras!$N$5:$N$24,MATCH($A17,Regras!$P$5:$P$24,0)))</f>
        <v/>
      </c>
      <c r="E17" s="10" t="str">
        <f>IF($A17="","",INDEX(Regras!$Q$5:$Q$24,MATCH($A17,Regras!$P$5:$P$24,0)))</f>
        <v/>
      </c>
      <c r="F17" s="10" t="str">
        <f>IF($A17="","",INDEX(Regras!$D$5:$D$24,MATCH($A17,Regras!$P$5:$P$24,0))&amp;CHAR(10)&amp;"Regra: "&amp;INDEX(Regras!$V$5:$V$24,MATCH($A17,Regras!$P$5:$P$24,0)))</f>
        <v/>
      </c>
      <c r="G17" s="10" t="str">
        <f>IF($A17="","",INDEX(Regras!$R$5:$R$24,MATCH($A17,Regras!$P$5:$P$24,0)))</f>
        <v/>
      </c>
      <c r="H17" s="9" t="str">
        <f>IF($A17="","",INDEX(Regras!$O$5:$O$24,MATCH($A17,Regras!$P$5:$P$24,0)))</f>
        <v/>
      </c>
      <c r="I17" s="10" t="str">
        <f>IF($A17="","",INDEX(Regras!$S$5:$S$24,MATCH($A17,Regras!$P$5:$P$24,0)))</f>
        <v/>
      </c>
      <c r="J17" s="10" t="str">
        <f>IF($A17="","",INDEX(Regras!$T$5:$T$24,MATCH($A17,Regras!$P$5:$P$24,0)))</f>
        <v/>
      </c>
      <c r="K17" s="11"/>
      <c r="L17" s="11"/>
    </row>
    <row r="18" spans="1:12" ht="79.5" customHeight="1" x14ac:dyDescent="0.4">
      <c r="A18" s="9" t="str">
        <f>IF(13&lt;=$N$3,13,"")</f>
        <v/>
      </c>
      <c r="B18" s="10" t="str">
        <f>IF($A18="","",INDEX(Regras!$A$5:$A$24,MATCH($A18,Regras!$P$5:$P$24,0)))</f>
        <v/>
      </c>
      <c r="C18" s="10" t="str">
        <f>IF($A18="","",INDEX(Regras!$B$5:$B$24,MATCH($A18,Regras!$P$5:$P$24,0)))</f>
        <v/>
      </c>
      <c r="D18" s="10" t="str">
        <f>IF($A18="","",INDEX(Regras!$N$5:$N$24,MATCH($A18,Regras!$P$5:$P$24,0)))</f>
        <v/>
      </c>
      <c r="E18" s="10" t="str">
        <f>IF($A18="","",INDEX(Regras!$Q$5:$Q$24,MATCH($A18,Regras!$P$5:$P$24,0)))</f>
        <v/>
      </c>
      <c r="F18" s="10" t="str">
        <f>IF($A18="","",INDEX(Regras!$D$5:$D$24,MATCH($A18,Regras!$P$5:$P$24,0))&amp;CHAR(10)&amp;"Regra: "&amp;INDEX(Regras!$V$5:$V$24,MATCH($A18,Regras!$P$5:$P$24,0)))</f>
        <v/>
      </c>
      <c r="G18" s="10" t="str">
        <f>IF($A18="","",INDEX(Regras!$R$5:$R$24,MATCH($A18,Regras!$P$5:$P$24,0)))</f>
        <v/>
      </c>
      <c r="H18" s="9" t="str">
        <f>IF($A18="","",INDEX(Regras!$O$5:$O$24,MATCH($A18,Regras!$P$5:$P$24,0)))</f>
        <v/>
      </c>
      <c r="I18" s="10" t="str">
        <f>IF($A18="","",INDEX(Regras!$S$5:$S$24,MATCH($A18,Regras!$P$5:$P$24,0)))</f>
        <v/>
      </c>
      <c r="J18" s="10" t="str">
        <f>IF($A18="","",INDEX(Regras!$T$5:$T$24,MATCH($A18,Regras!$P$5:$P$24,0)))</f>
        <v/>
      </c>
      <c r="K18" s="11"/>
      <c r="L18" s="11"/>
    </row>
    <row r="19" spans="1:12" ht="79.5" customHeight="1" x14ac:dyDescent="0.4">
      <c r="A19" s="9" t="str">
        <f>IF(14&lt;=$N$3,14,"")</f>
        <v/>
      </c>
      <c r="B19" s="10" t="str">
        <f>IF($A19="","",INDEX(Regras!$A$5:$A$24,MATCH($A19,Regras!$P$5:$P$24,0)))</f>
        <v/>
      </c>
      <c r="C19" s="10" t="str">
        <f>IF($A19="","",INDEX(Regras!$B$5:$B$24,MATCH($A19,Regras!$P$5:$P$24,0)))</f>
        <v/>
      </c>
      <c r="D19" s="10" t="str">
        <f>IF($A19="","",INDEX(Regras!$N$5:$N$24,MATCH($A19,Regras!$P$5:$P$24,0)))</f>
        <v/>
      </c>
      <c r="E19" s="10" t="str">
        <f>IF($A19="","",INDEX(Regras!$Q$5:$Q$24,MATCH($A19,Regras!$P$5:$P$24,0)))</f>
        <v/>
      </c>
      <c r="F19" s="10" t="str">
        <f>IF($A19="","",INDEX(Regras!$D$5:$D$24,MATCH($A19,Regras!$P$5:$P$24,0))&amp;CHAR(10)&amp;"Regra: "&amp;INDEX(Regras!$V$5:$V$24,MATCH($A19,Regras!$P$5:$P$24,0)))</f>
        <v/>
      </c>
      <c r="G19" s="10" t="str">
        <f>IF($A19="","",INDEX(Regras!$R$5:$R$24,MATCH($A19,Regras!$P$5:$P$24,0)))</f>
        <v/>
      </c>
      <c r="H19" s="9" t="str">
        <f>IF($A19="","",INDEX(Regras!$O$5:$O$24,MATCH($A19,Regras!$P$5:$P$24,0)))</f>
        <v/>
      </c>
      <c r="I19" s="10" t="str">
        <f>IF($A19="","",INDEX(Regras!$S$5:$S$24,MATCH($A19,Regras!$P$5:$P$24,0)))</f>
        <v/>
      </c>
      <c r="J19" s="10" t="str">
        <f>IF($A19="","",INDEX(Regras!$T$5:$T$24,MATCH($A19,Regras!$P$5:$P$24,0)))</f>
        <v/>
      </c>
      <c r="K19" s="11"/>
      <c r="L19" s="11"/>
    </row>
    <row r="20" spans="1:12" ht="79.5" customHeight="1" x14ac:dyDescent="0.4">
      <c r="A20" s="9" t="str">
        <f>IF(15&lt;=$N$3,15,"")</f>
        <v/>
      </c>
      <c r="B20" s="10" t="str">
        <f>IF($A20="","",INDEX(Regras!$A$5:$A$24,MATCH($A20,Regras!$P$5:$P$24,0)))</f>
        <v/>
      </c>
      <c r="C20" s="10" t="str">
        <f>IF($A20="","",INDEX(Regras!$B$5:$B$24,MATCH($A20,Regras!$P$5:$P$24,0)))</f>
        <v/>
      </c>
      <c r="D20" s="10" t="str">
        <f>IF($A20="","",INDEX(Regras!$N$5:$N$24,MATCH($A20,Regras!$P$5:$P$24,0)))</f>
        <v/>
      </c>
      <c r="E20" s="10" t="str">
        <f>IF($A20="","",INDEX(Regras!$Q$5:$Q$24,MATCH($A20,Regras!$P$5:$P$24,0)))</f>
        <v/>
      </c>
      <c r="F20" s="10" t="str">
        <f>IF($A20="","",INDEX(Regras!$D$5:$D$24,MATCH($A20,Regras!$P$5:$P$24,0))&amp;CHAR(10)&amp;"Regra: "&amp;INDEX(Regras!$V$5:$V$24,MATCH($A20,Regras!$P$5:$P$24,0)))</f>
        <v/>
      </c>
      <c r="G20" s="10" t="str">
        <f>IF($A20="","",INDEX(Regras!$R$5:$R$24,MATCH($A20,Regras!$P$5:$P$24,0)))</f>
        <v/>
      </c>
      <c r="H20" s="9" t="str">
        <f>IF($A20="","",INDEX(Regras!$O$5:$O$24,MATCH($A20,Regras!$P$5:$P$24,0)))</f>
        <v/>
      </c>
      <c r="I20" s="10" t="str">
        <f>IF($A20="","",INDEX(Regras!$S$5:$S$24,MATCH($A20,Regras!$P$5:$P$24,0)))</f>
        <v/>
      </c>
      <c r="J20" s="10" t="str">
        <f>IF($A20="","",INDEX(Regras!$T$5:$T$24,MATCH($A20,Regras!$P$5:$P$24,0)))</f>
        <v/>
      </c>
      <c r="K20" s="11"/>
      <c r="L20" s="11"/>
    </row>
    <row r="21" spans="1:12" ht="79.5" customHeight="1" x14ac:dyDescent="0.4">
      <c r="A21" s="9" t="str">
        <f>IF(16&lt;=$N$3,16,"")</f>
        <v/>
      </c>
      <c r="B21" s="10" t="str">
        <f>IF($A21="","",INDEX(Regras!$A$5:$A$24,MATCH($A21,Regras!$P$5:$P$24,0)))</f>
        <v/>
      </c>
      <c r="C21" s="10" t="str">
        <f>IF($A21="","",INDEX(Regras!$B$5:$B$24,MATCH($A21,Regras!$P$5:$P$24,0)))</f>
        <v/>
      </c>
      <c r="D21" s="10" t="str">
        <f>IF($A21="","",INDEX(Regras!$N$5:$N$24,MATCH($A21,Regras!$P$5:$P$24,0)))</f>
        <v/>
      </c>
      <c r="E21" s="10" t="str">
        <f>IF($A21="","",INDEX(Regras!$Q$5:$Q$24,MATCH($A21,Regras!$P$5:$P$24,0)))</f>
        <v/>
      </c>
      <c r="F21" s="10" t="str">
        <f>IF($A21="","",INDEX(Regras!$D$5:$D$24,MATCH($A21,Regras!$P$5:$P$24,0))&amp;CHAR(10)&amp;"Regra: "&amp;INDEX(Regras!$V$5:$V$24,MATCH($A21,Regras!$P$5:$P$24,0)))</f>
        <v/>
      </c>
      <c r="G21" s="10" t="str">
        <f>IF($A21="","",INDEX(Regras!$R$5:$R$24,MATCH($A21,Regras!$P$5:$P$24,0)))</f>
        <v/>
      </c>
      <c r="H21" s="9" t="str">
        <f>IF($A21="","",INDEX(Regras!$O$5:$O$24,MATCH($A21,Regras!$P$5:$P$24,0)))</f>
        <v/>
      </c>
      <c r="I21" s="10" t="str">
        <f>IF($A21="","",INDEX(Regras!$S$5:$S$24,MATCH($A21,Regras!$P$5:$P$24,0)))</f>
        <v/>
      </c>
      <c r="J21" s="10" t="str">
        <f>IF($A21="","",INDEX(Regras!$T$5:$T$24,MATCH($A21,Regras!$P$5:$P$24,0)))</f>
        <v/>
      </c>
      <c r="K21" s="11"/>
      <c r="L21" s="11"/>
    </row>
    <row r="22" spans="1:12" ht="79.5" customHeight="1" x14ac:dyDescent="0.4">
      <c r="A22" s="9" t="str">
        <f>IF(17&lt;=$N$3,17,"")</f>
        <v/>
      </c>
      <c r="B22" s="10" t="str">
        <f>IF($A22="","",INDEX(Regras!$A$5:$A$24,MATCH($A22,Regras!$P$5:$P$24,0)))</f>
        <v/>
      </c>
      <c r="C22" s="10" t="str">
        <f>IF($A22="","",INDEX(Regras!$B$5:$B$24,MATCH($A22,Regras!$P$5:$P$24,0)))</f>
        <v/>
      </c>
      <c r="D22" s="10" t="str">
        <f>IF($A22="","",INDEX(Regras!$N$5:$N$24,MATCH($A22,Regras!$P$5:$P$24,0)))</f>
        <v/>
      </c>
      <c r="E22" s="10" t="str">
        <f>IF($A22="","",INDEX(Regras!$Q$5:$Q$24,MATCH($A22,Regras!$P$5:$P$24,0)))</f>
        <v/>
      </c>
      <c r="F22" s="10" t="str">
        <f>IF($A22="","",INDEX(Regras!$D$5:$D$24,MATCH($A22,Regras!$P$5:$P$24,0))&amp;CHAR(10)&amp;"Regra: "&amp;INDEX(Regras!$V$5:$V$24,MATCH($A22,Regras!$P$5:$P$24,0)))</f>
        <v/>
      </c>
      <c r="G22" s="10" t="str">
        <f>IF($A22="","",INDEX(Regras!$R$5:$R$24,MATCH($A22,Regras!$P$5:$P$24,0)))</f>
        <v/>
      </c>
      <c r="H22" s="9" t="str">
        <f>IF($A22="","",INDEX(Regras!$O$5:$O$24,MATCH($A22,Regras!$P$5:$P$24,0)))</f>
        <v/>
      </c>
      <c r="I22" s="10" t="str">
        <f>IF($A22="","",INDEX(Regras!$S$5:$S$24,MATCH($A22,Regras!$P$5:$P$24,0)))</f>
        <v/>
      </c>
      <c r="J22" s="10" t="str">
        <f>IF($A22="","",INDEX(Regras!$T$5:$T$24,MATCH($A22,Regras!$P$5:$P$24,0)))</f>
        <v/>
      </c>
      <c r="K22" s="11"/>
      <c r="L22" s="11"/>
    </row>
    <row r="23" spans="1:12" ht="79.5" customHeight="1" x14ac:dyDescent="0.4">
      <c r="A23" s="9" t="str">
        <f>IF(18&lt;=$N$3,18,"")</f>
        <v/>
      </c>
      <c r="B23" s="10" t="str">
        <f>IF($A23="","",INDEX(Regras!$A$5:$A$24,MATCH($A23,Regras!$P$5:$P$24,0)))</f>
        <v/>
      </c>
      <c r="C23" s="10" t="str">
        <f>IF($A23="","",INDEX(Regras!$B$5:$B$24,MATCH($A23,Regras!$P$5:$P$24,0)))</f>
        <v/>
      </c>
      <c r="D23" s="10" t="str">
        <f>IF($A23="","",INDEX(Regras!$N$5:$N$24,MATCH($A23,Regras!$P$5:$P$24,0)))</f>
        <v/>
      </c>
      <c r="E23" s="10" t="str">
        <f>IF($A23="","",INDEX(Regras!$Q$5:$Q$24,MATCH($A23,Regras!$P$5:$P$24,0)))</f>
        <v/>
      </c>
      <c r="F23" s="10" t="str">
        <f>IF($A23="","",INDEX(Regras!$D$5:$D$24,MATCH($A23,Regras!$P$5:$P$24,0))&amp;CHAR(10)&amp;"Regra: "&amp;INDEX(Regras!$V$5:$V$24,MATCH($A23,Regras!$P$5:$P$24,0)))</f>
        <v/>
      </c>
      <c r="G23" s="10" t="str">
        <f>IF($A23="","",INDEX(Regras!$R$5:$R$24,MATCH($A23,Regras!$P$5:$P$24,0)))</f>
        <v/>
      </c>
      <c r="H23" s="9" t="str">
        <f>IF($A23="","",INDEX(Regras!$O$5:$O$24,MATCH($A23,Regras!$P$5:$P$24,0)))</f>
        <v/>
      </c>
      <c r="I23" s="10" t="str">
        <f>IF($A23="","",INDEX(Regras!$S$5:$S$24,MATCH($A23,Regras!$P$5:$P$24,0)))</f>
        <v/>
      </c>
      <c r="J23" s="10" t="str">
        <f>IF($A23="","",INDEX(Regras!$T$5:$T$24,MATCH($A23,Regras!$P$5:$P$24,0)))</f>
        <v/>
      </c>
      <c r="K23" s="11"/>
      <c r="L23" s="11"/>
    </row>
    <row r="24" spans="1:12" ht="79.5" customHeight="1" x14ac:dyDescent="0.4">
      <c r="A24" s="9" t="str">
        <f>IF(19&lt;=$N$3,19,"")</f>
        <v/>
      </c>
      <c r="B24" s="10" t="str">
        <f>IF($A24="","",INDEX(Regras!$A$5:$A$24,MATCH($A24,Regras!$P$5:$P$24,0)))</f>
        <v/>
      </c>
      <c r="C24" s="10" t="str">
        <f>IF($A24="","",INDEX(Regras!$B$5:$B$24,MATCH($A24,Regras!$P$5:$P$24,0)))</f>
        <v/>
      </c>
      <c r="D24" s="10" t="str">
        <f>IF($A24="","",INDEX(Regras!$N$5:$N$24,MATCH($A24,Regras!$P$5:$P$24,0)))</f>
        <v/>
      </c>
      <c r="E24" s="10" t="str">
        <f>IF($A24="","",INDEX(Regras!$Q$5:$Q$24,MATCH($A24,Regras!$P$5:$P$24,0)))</f>
        <v/>
      </c>
      <c r="F24" s="10" t="str">
        <f>IF($A24="","",INDEX(Regras!$D$5:$D$24,MATCH($A24,Regras!$P$5:$P$24,0))&amp;CHAR(10)&amp;"Regra: "&amp;INDEX(Regras!$V$5:$V$24,MATCH($A24,Regras!$P$5:$P$24,0)))</f>
        <v/>
      </c>
      <c r="G24" s="10" t="str">
        <f>IF($A24="","",INDEX(Regras!$R$5:$R$24,MATCH($A24,Regras!$P$5:$P$24,0)))</f>
        <v/>
      </c>
      <c r="H24" s="9" t="str">
        <f>IF($A24="","",INDEX(Regras!$O$5:$O$24,MATCH($A24,Regras!$P$5:$P$24,0)))</f>
        <v/>
      </c>
      <c r="I24" s="10" t="str">
        <f>IF($A24="","",INDEX(Regras!$S$5:$S$24,MATCH($A24,Regras!$P$5:$P$24,0)))</f>
        <v/>
      </c>
      <c r="J24" s="10" t="str">
        <f>IF($A24="","",INDEX(Regras!$T$5:$T$24,MATCH($A24,Regras!$P$5:$P$24,0)))</f>
        <v/>
      </c>
      <c r="K24" s="11"/>
      <c r="L24" s="11"/>
    </row>
    <row r="25" spans="1:12" ht="79.5" customHeight="1" x14ac:dyDescent="0.4">
      <c r="A25" s="9" t="str">
        <f>IF(20&lt;=$N$3,20,"")</f>
        <v/>
      </c>
      <c r="B25" s="10" t="str">
        <f>IF($A25="","",INDEX(Regras!$A$5:$A$24,MATCH($A25,Regras!$P$5:$P$24,0)))</f>
        <v/>
      </c>
      <c r="C25" s="10" t="str">
        <f>IF($A25="","",INDEX(Regras!$B$5:$B$24,MATCH($A25,Regras!$P$5:$P$24,0)))</f>
        <v/>
      </c>
      <c r="D25" s="10" t="str">
        <f>IF($A25="","",INDEX(Regras!$N$5:$N$24,MATCH($A25,Regras!$P$5:$P$24,0)))</f>
        <v/>
      </c>
      <c r="E25" s="10" t="str">
        <f>IF($A25="","",INDEX(Regras!$Q$5:$Q$24,MATCH($A25,Regras!$P$5:$P$24,0)))</f>
        <v/>
      </c>
      <c r="F25" s="10" t="str">
        <f>IF($A25="","",INDEX(Regras!$D$5:$D$24,MATCH($A25,Regras!$P$5:$P$24,0))&amp;CHAR(10)&amp;"Regra: "&amp;INDEX(Regras!$V$5:$V$24,MATCH($A25,Regras!$P$5:$P$24,0)))</f>
        <v/>
      </c>
      <c r="G25" s="10" t="str">
        <f>IF($A25="","",INDEX(Regras!$R$5:$R$24,MATCH($A25,Regras!$P$5:$P$24,0)))</f>
        <v/>
      </c>
      <c r="H25" s="9" t="str">
        <f>IF($A25="","",INDEX(Regras!$O$5:$O$24,MATCH($A25,Regras!$P$5:$P$24,0)))</f>
        <v/>
      </c>
      <c r="I25" s="10" t="str">
        <f>IF($A25="","",INDEX(Regras!$S$5:$S$24,MATCH($A25,Regras!$P$5:$P$24,0)))</f>
        <v/>
      </c>
      <c r="J25" s="10" t="str">
        <f>IF($A25="","",INDEX(Regras!$T$5:$T$24,MATCH($A25,Regras!$P$5:$P$24,0)))</f>
        <v/>
      </c>
      <c r="K25" s="11"/>
      <c r="L25" s="11"/>
    </row>
  </sheetData>
  <conditionalFormatting sqref="A6:L25">
    <cfRule type="expression" dxfId="3" priority="4">
      <formula>$A6=""</formula>
    </cfRule>
  </conditionalFormatting>
  <conditionalFormatting sqref="H6:H25">
    <cfRule type="cellIs" dxfId="2" priority="2" operator="equal">
      <formula>"Alta"</formula>
    </cfRule>
    <cfRule type="cellIs" dxfId="1" priority="3" operator="equal">
      <formula>"Média"</formula>
    </cfRule>
  </conditionalFormatting>
  <dataValidations count="1">
    <dataValidation type="list" sqref="K6:K25" xr:uid="{00000000-0002-0000-0100-000000000000}">
      <formula1>"Aceite,Descartado,Pendente"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9140625" defaultRowHeight="14.6" x14ac:dyDescent="0.4"/>
  <cols>
    <col min="1" max="1" width="52" customWidth="1"/>
    <col min="2" max="5" width="11" customWidth="1"/>
    <col min="6" max="6" width="34" customWidth="1"/>
  </cols>
  <sheetData>
    <row r="1" spans="1:6" ht="17.600000000000001" x14ac:dyDescent="0.4">
      <c r="A1" s="1" t="s">
        <v>28</v>
      </c>
    </row>
    <row r="2" spans="1:6" x14ac:dyDescent="0.4">
      <c r="A2" s="2" t="s">
        <v>29</v>
      </c>
    </row>
    <row r="4" spans="1:6" x14ac:dyDescent="0.4">
      <c r="A4" s="7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</row>
    <row r="5" spans="1:6" x14ac:dyDescent="0.4">
      <c r="A5" s="12" t="s">
        <v>36</v>
      </c>
      <c r="B5" s="13"/>
      <c r="C5" s="13"/>
      <c r="D5" s="13"/>
      <c r="E5" s="13"/>
      <c r="F5" s="13"/>
    </row>
    <row r="6" spans="1:6" x14ac:dyDescent="0.4">
      <c r="A6" s="14" t="s">
        <v>37</v>
      </c>
      <c r="B6" s="15"/>
      <c r="C6" s="16">
        <v>15200</v>
      </c>
      <c r="D6" s="16">
        <v>15900</v>
      </c>
      <c r="E6" s="16">
        <v>16700</v>
      </c>
      <c r="F6" s="17" t="s">
        <v>38</v>
      </c>
    </row>
    <row r="7" spans="1:6" x14ac:dyDescent="0.4">
      <c r="A7" s="14" t="s">
        <v>39</v>
      </c>
      <c r="B7" s="15"/>
      <c r="C7" s="16">
        <v>-10944</v>
      </c>
      <c r="D7" s="16">
        <v>-11385</v>
      </c>
      <c r="E7" s="16">
        <v>-12041</v>
      </c>
      <c r="F7" s="17" t="s">
        <v>40</v>
      </c>
    </row>
    <row r="8" spans="1:6" x14ac:dyDescent="0.4">
      <c r="A8" s="14" t="s">
        <v>41</v>
      </c>
      <c r="B8" s="15"/>
      <c r="C8" s="16">
        <v>-1520</v>
      </c>
      <c r="D8" s="16">
        <v>-1580</v>
      </c>
      <c r="E8" s="16">
        <v>-1650</v>
      </c>
      <c r="F8" s="17" t="s">
        <v>42</v>
      </c>
    </row>
    <row r="9" spans="1:6" x14ac:dyDescent="0.4">
      <c r="A9" s="14" t="s">
        <v>43</v>
      </c>
      <c r="B9" s="15"/>
      <c r="C9" s="16">
        <v>-1410</v>
      </c>
      <c r="D9" s="16">
        <v>-1470</v>
      </c>
      <c r="E9" s="16">
        <v>-1540</v>
      </c>
      <c r="F9" s="17" t="s">
        <v>44</v>
      </c>
    </row>
    <row r="10" spans="1:6" x14ac:dyDescent="0.4">
      <c r="A10" s="14" t="s">
        <v>45</v>
      </c>
      <c r="B10" s="15"/>
      <c r="C10" s="16">
        <v>-30</v>
      </c>
      <c r="D10" s="16">
        <v>-35</v>
      </c>
      <c r="E10" s="16">
        <v>-35</v>
      </c>
      <c r="F10" s="17" t="s">
        <v>46</v>
      </c>
    </row>
    <row r="11" spans="1:6" x14ac:dyDescent="0.4">
      <c r="A11" s="14" t="s">
        <v>47</v>
      </c>
      <c r="B11" s="15"/>
      <c r="C11" s="16">
        <v>60</v>
      </c>
      <c r="D11" s="16">
        <v>55</v>
      </c>
      <c r="E11" s="16">
        <v>65</v>
      </c>
      <c r="F11" s="17" t="s">
        <v>48</v>
      </c>
    </row>
    <row r="12" spans="1:6" x14ac:dyDescent="0.4">
      <c r="A12" s="14" t="s">
        <v>49</v>
      </c>
      <c r="B12" s="15"/>
      <c r="C12" s="16">
        <v>-40</v>
      </c>
      <c r="D12" s="16">
        <v>-45</v>
      </c>
      <c r="E12" s="16">
        <v>-50</v>
      </c>
      <c r="F12" s="17" t="s">
        <v>50</v>
      </c>
    </row>
    <row r="13" spans="1:6" x14ac:dyDescent="0.4">
      <c r="A13" s="14" t="s">
        <v>51</v>
      </c>
      <c r="B13" s="15"/>
      <c r="C13" s="16">
        <v>-290</v>
      </c>
      <c r="D13" s="16">
        <v>-300</v>
      </c>
      <c r="E13" s="16">
        <v>-315</v>
      </c>
      <c r="F13" s="17" t="s">
        <v>52</v>
      </c>
    </row>
    <row r="14" spans="1:6" x14ac:dyDescent="0.4">
      <c r="A14" s="14" t="s">
        <v>53</v>
      </c>
      <c r="B14" s="15"/>
      <c r="C14" s="16">
        <v>-105</v>
      </c>
      <c r="D14" s="16">
        <v>-90</v>
      </c>
      <c r="E14" s="16">
        <v>-70</v>
      </c>
      <c r="F14" s="17" t="s">
        <v>54</v>
      </c>
    </row>
    <row r="15" spans="1:6" x14ac:dyDescent="0.4">
      <c r="A15" s="14" t="s">
        <v>55</v>
      </c>
      <c r="B15" s="15"/>
      <c r="C15" s="16">
        <v>-207</v>
      </c>
      <c r="D15" s="16">
        <v>-236</v>
      </c>
      <c r="E15" s="16">
        <v>-239</v>
      </c>
      <c r="F15" s="17" t="s">
        <v>56</v>
      </c>
    </row>
    <row r="16" spans="1:6" x14ac:dyDescent="0.4">
      <c r="A16" s="14" t="s">
        <v>57</v>
      </c>
      <c r="B16" s="15"/>
      <c r="C16" s="16">
        <v>714</v>
      </c>
      <c r="D16" s="16">
        <v>814</v>
      </c>
      <c r="E16" s="16">
        <v>825</v>
      </c>
      <c r="F16" s="17" t="s">
        <v>58</v>
      </c>
    </row>
    <row r="17" spans="1:6" x14ac:dyDescent="0.4">
      <c r="A17" s="18"/>
      <c r="B17" s="18"/>
      <c r="C17" s="18"/>
      <c r="D17" s="18"/>
      <c r="E17" s="18"/>
      <c r="F17" s="18"/>
    </row>
    <row r="18" spans="1:6" x14ac:dyDescent="0.4">
      <c r="A18" s="12" t="s">
        <v>59</v>
      </c>
      <c r="B18" s="13"/>
      <c r="C18" s="13"/>
      <c r="D18" s="13"/>
      <c r="E18" s="13"/>
      <c r="F18" s="13"/>
    </row>
    <row r="19" spans="1:6" x14ac:dyDescent="0.4">
      <c r="A19" s="14" t="s">
        <v>60</v>
      </c>
      <c r="B19" s="16">
        <v>2900</v>
      </c>
      <c r="C19" s="16">
        <v>2940</v>
      </c>
      <c r="D19" s="16">
        <v>2990</v>
      </c>
      <c r="E19" s="16">
        <v>3040</v>
      </c>
      <c r="F19" s="17" t="s">
        <v>61</v>
      </c>
    </row>
    <row r="20" spans="1:6" x14ac:dyDescent="0.4">
      <c r="A20" s="19" t="s">
        <v>62</v>
      </c>
      <c r="B20" s="16">
        <v>0</v>
      </c>
      <c r="C20" s="16">
        <v>0</v>
      </c>
      <c r="D20" s="16">
        <v>0</v>
      </c>
      <c r="E20" s="16">
        <v>0</v>
      </c>
      <c r="F20" s="18" t="s">
        <v>63</v>
      </c>
    </row>
    <row r="21" spans="1:6" x14ac:dyDescent="0.4">
      <c r="A21" s="14" t="s">
        <v>64</v>
      </c>
      <c r="B21" s="16">
        <v>2170</v>
      </c>
      <c r="C21" s="16">
        <v>2250</v>
      </c>
      <c r="D21" s="16">
        <v>2340</v>
      </c>
      <c r="E21" s="16">
        <v>2470</v>
      </c>
      <c r="F21" s="17" t="s">
        <v>65</v>
      </c>
    </row>
    <row r="22" spans="1:6" x14ac:dyDescent="0.4">
      <c r="A22" s="14" t="s">
        <v>66</v>
      </c>
      <c r="B22" s="16">
        <v>2480</v>
      </c>
      <c r="C22" s="16">
        <v>2582</v>
      </c>
      <c r="D22" s="16">
        <v>2700</v>
      </c>
      <c r="E22" s="16">
        <v>2840</v>
      </c>
      <c r="F22" s="17" t="s">
        <v>67</v>
      </c>
    </row>
    <row r="23" spans="1:6" x14ac:dyDescent="0.4">
      <c r="A23" s="14" t="s">
        <v>68</v>
      </c>
      <c r="B23" s="16">
        <v>240</v>
      </c>
      <c r="C23" s="16">
        <v>250</v>
      </c>
      <c r="D23" s="16">
        <v>255</v>
      </c>
      <c r="E23" s="16">
        <v>265</v>
      </c>
      <c r="F23" s="17" t="s">
        <v>69</v>
      </c>
    </row>
    <row r="24" spans="1:6" x14ac:dyDescent="0.4">
      <c r="A24" s="14" t="s">
        <v>70</v>
      </c>
      <c r="B24" s="16">
        <v>700</v>
      </c>
      <c r="C24" s="16">
        <v>642</v>
      </c>
      <c r="D24" s="16">
        <v>618</v>
      </c>
      <c r="E24" s="16">
        <v>553</v>
      </c>
      <c r="F24" s="17" t="s">
        <v>71</v>
      </c>
    </row>
    <row r="25" spans="1:6" x14ac:dyDescent="0.4">
      <c r="A25" s="14" t="s">
        <v>72</v>
      </c>
      <c r="B25" s="16">
        <v>3860</v>
      </c>
      <c r="C25" s="16">
        <v>4324</v>
      </c>
      <c r="D25" s="16">
        <v>4838</v>
      </c>
      <c r="E25" s="16">
        <v>5333</v>
      </c>
      <c r="F25" s="17" t="s">
        <v>73</v>
      </c>
    </row>
    <row r="26" spans="1:6" x14ac:dyDescent="0.4">
      <c r="A26" s="14" t="s">
        <v>74</v>
      </c>
      <c r="B26" s="16">
        <v>650</v>
      </c>
      <c r="C26" s="16">
        <v>714</v>
      </c>
      <c r="D26" s="16">
        <v>814</v>
      </c>
      <c r="E26" s="16">
        <v>825</v>
      </c>
      <c r="F26" s="17" t="s">
        <v>75</v>
      </c>
    </row>
    <row r="27" spans="1:6" x14ac:dyDescent="0.4">
      <c r="A27" s="14" t="s">
        <v>76</v>
      </c>
      <c r="B27" s="16">
        <v>2040</v>
      </c>
      <c r="C27" s="16">
        <v>1680</v>
      </c>
      <c r="D27" s="16">
        <v>1320</v>
      </c>
      <c r="E27" s="16">
        <v>960</v>
      </c>
      <c r="F27" s="17" t="s">
        <v>77</v>
      </c>
    </row>
    <row r="28" spans="1:6" x14ac:dyDescent="0.4">
      <c r="A28" s="19" t="s">
        <v>78</v>
      </c>
      <c r="B28" s="16">
        <v>0</v>
      </c>
      <c r="C28" s="16">
        <v>0</v>
      </c>
      <c r="D28" s="16">
        <v>0</v>
      </c>
      <c r="E28" s="16">
        <v>0</v>
      </c>
      <c r="F28" s="18" t="s">
        <v>63</v>
      </c>
    </row>
    <row r="29" spans="1:6" x14ac:dyDescent="0.4">
      <c r="A29" s="14" t="s">
        <v>79</v>
      </c>
      <c r="B29" s="16">
        <v>1750</v>
      </c>
      <c r="C29" s="16">
        <v>1800</v>
      </c>
      <c r="D29" s="16">
        <v>1870</v>
      </c>
      <c r="E29" s="16">
        <v>1980</v>
      </c>
      <c r="F29" s="17" t="s">
        <v>80</v>
      </c>
    </row>
    <row r="30" spans="1:6" x14ac:dyDescent="0.4">
      <c r="A30" s="14" t="s">
        <v>81</v>
      </c>
      <c r="B30" s="16">
        <v>360</v>
      </c>
      <c r="C30" s="16">
        <v>360</v>
      </c>
      <c r="D30" s="16">
        <v>360</v>
      </c>
      <c r="E30" s="16">
        <v>360</v>
      </c>
      <c r="F30" s="17" t="s">
        <v>82</v>
      </c>
    </row>
    <row r="31" spans="1:6" x14ac:dyDescent="0.4">
      <c r="A31" s="14" t="s">
        <v>83</v>
      </c>
      <c r="B31" s="16">
        <v>480</v>
      </c>
      <c r="C31" s="16">
        <v>500</v>
      </c>
      <c r="D31" s="16">
        <v>515</v>
      </c>
      <c r="E31" s="16">
        <v>535</v>
      </c>
      <c r="F31" s="17" t="s">
        <v>84</v>
      </c>
    </row>
    <row r="32" spans="1:6" x14ac:dyDescent="0.4">
      <c r="A32" s="18"/>
      <c r="B32" s="18"/>
      <c r="C32" s="18"/>
      <c r="D32" s="18"/>
      <c r="E32" s="18"/>
      <c r="F32" s="18"/>
    </row>
    <row r="33" spans="1:6" x14ac:dyDescent="0.4">
      <c r="A33" s="12" t="s">
        <v>85</v>
      </c>
      <c r="B33" s="13"/>
      <c r="C33" s="13"/>
      <c r="D33" s="13"/>
      <c r="E33" s="13"/>
      <c r="F33" s="13"/>
    </row>
    <row r="34" spans="1:6" x14ac:dyDescent="0.4">
      <c r="A34" s="14" t="s">
        <v>86</v>
      </c>
      <c r="B34" s="15"/>
      <c r="C34" s="16">
        <v>714</v>
      </c>
      <c r="D34" s="16">
        <v>814</v>
      </c>
      <c r="E34" s="16">
        <v>825</v>
      </c>
      <c r="F34" s="17" t="s">
        <v>87</v>
      </c>
    </row>
    <row r="35" spans="1:6" x14ac:dyDescent="0.4">
      <c r="A35" s="14" t="s">
        <v>88</v>
      </c>
      <c r="B35" s="15"/>
      <c r="C35" s="16">
        <v>-102</v>
      </c>
      <c r="D35" s="16">
        <v>-118</v>
      </c>
      <c r="E35" s="16">
        <v>-140</v>
      </c>
      <c r="F35" s="17" t="s">
        <v>89</v>
      </c>
    </row>
    <row r="36" spans="1:6" x14ac:dyDescent="0.4">
      <c r="A36" s="14" t="s">
        <v>90</v>
      </c>
      <c r="B36" s="15"/>
      <c r="C36" s="16">
        <v>-80</v>
      </c>
      <c r="D36" s="16">
        <v>-90</v>
      </c>
      <c r="E36" s="16">
        <v>-130</v>
      </c>
      <c r="F36" s="17" t="s">
        <v>91</v>
      </c>
    </row>
    <row r="37" spans="1:6" x14ac:dyDescent="0.4">
      <c r="A37" s="14" t="s">
        <v>92</v>
      </c>
      <c r="B37" s="15"/>
      <c r="C37" s="16">
        <v>50</v>
      </c>
      <c r="D37" s="16">
        <v>70</v>
      </c>
      <c r="E37" s="16">
        <v>110</v>
      </c>
      <c r="F37" s="17" t="s">
        <v>93</v>
      </c>
    </row>
    <row r="38" spans="1:6" x14ac:dyDescent="0.4">
      <c r="A38" s="14" t="s">
        <v>94</v>
      </c>
      <c r="B38" s="15"/>
      <c r="C38" s="16">
        <v>-10</v>
      </c>
      <c r="D38" s="16">
        <v>-5</v>
      </c>
      <c r="E38" s="16">
        <v>-10</v>
      </c>
      <c r="F38" s="17" t="s">
        <v>95</v>
      </c>
    </row>
    <row r="39" spans="1:6" x14ac:dyDescent="0.4">
      <c r="A39" s="14" t="s">
        <v>96</v>
      </c>
      <c r="B39" s="15"/>
      <c r="C39" s="16">
        <v>20</v>
      </c>
      <c r="D39" s="16">
        <v>15</v>
      </c>
      <c r="E39" s="16">
        <v>20</v>
      </c>
      <c r="F39" s="17" t="s">
        <v>97</v>
      </c>
    </row>
    <row r="40" spans="1:6" x14ac:dyDescent="0.4">
      <c r="A40" s="14" t="s">
        <v>98</v>
      </c>
      <c r="B40" s="15"/>
      <c r="C40" s="16">
        <v>1194</v>
      </c>
      <c r="D40" s="16">
        <v>1312</v>
      </c>
      <c r="E40" s="16">
        <v>1294</v>
      </c>
      <c r="F40" s="17" t="s">
        <v>99</v>
      </c>
    </row>
    <row r="41" spans="1:6" x14ac:dyDescent="0.4">
      <c r="A41" s="14" t="s">
        <v>100</v>
      </c>
      <c r="B41" s="15"/>
      <c r="C41" s="16">
        <v>882</v>
      </c>
      <c r="D41" s="16">
        <v>986</v>
      </c>
      <c r="E41" s="16">
        <v>985</v>
      </c>
      <c r="F41" s="17" t="s">
        <v>101</v>
      </c>
    </row>
    <row r="42" spans="1:6" x14ac:dyDescent="0.4">
      <c r="A42" s="14" t="s">
        <v>102</v>
      </c>
      <c r="B42" s="15"/>
      <c r="C42" s="16">
        <v>-330</v>
      </c>
      <c r="D42" s="16">
        <v>-350</v>
      </c>
      <c r="E42" s="16">
        <v>-380</v>
      </c>
      <c r="F42" s="17" t="s">
        <v>103</v>
      </c>
    </row>
    <row r="43" spans="1:6" x14ac:dyDescent="0.4">
      <c r="A43" s="14" t="s">
        <v>104</v>
      </c>
      <c r="B43" s="15"/>
      <c r="C43" s="16">
        <v>0</v>
      </c>
      <c r="D43" s="16">
        <v>0</v>
      </c>
      <c r="E43" s="16">
        <v>20</v>
      </c>
      <c r="F43" s="17" t="s">
        <v>105</v>
      </c>
    </row>
    <row r="44" spans="1:6" x14ac:dyDescent="0.4">
      <c r="A44" s="14" t="s">
        <v>106</v>
      </c>
      <c r="B44" s="15"/>
      <c r="C44" s="16">
        <v>0</v>
      </c>
      <c r="D44" s="16">
        <v>0</v>
      </c>
      <c r="E44" s="16">
        <v>-5</v>
      </c>
      <c r="F44" s="17" t="s">
        <v>107</v>
      </c>
    </row>
    <row r="45" spans="1:6" x14ac:dyDescent="0.4">
      <c r="A45" s="14" t="s">
        <v>108</v>
      </c>
      <c r="B45" s="15"/>
      <c r="C45" s="16">
        <v>700</v>
      </c>
      <c r="D45" s="16">
        <v>642</v>
      </c>
      <c r="E45" s="16">
        <v>618</v>
      </c>
      <c r="F45" s="17" t="s">
        <v>109</v>
      </c>
    </row>
    <row r="46" spans="1:6" x14ac:dyDescent="0.4">
      <c r="A46" s="14" t="s">
        <v>110</v>
      </c>
      <c r="B46" s="15"/>
      <c r="C46" s="16">
        <v>642</v>
      </c>
      <c r="D46" s="16">
        <v>618</v>
      </c>
      <c r="E46" s="16">
        <v>553</v>
      </c>
      <c r="F46" s="17" t="s">
        <v>111</v>
      </c>
    </row>
    <row r="47" spans="1:6" x14ac:dyDescent="0.4">
      <c r="A47" s="18"/>
      <c r="B47" s="18"/>
      <c r="C47" s="18"/>
      <c r="D47" s="18"/>
      <c r="E47" s="18"/>
      <c r="F47" s="18"/>
    </row>
    <row r="48" spans="1:6" x14ac:dyDescent="0.4">
      <c r="A48" s="12" t="s">
        <v>112</v>
      </c>
      <c r="B48" s="13"/>
      <c r="C48" s="13"/>
      <c r="D48" s="13"/>
      <c r="E48" s="13"/>
      <c r="F48" s="13"/>
    </row>
    <row r="49" spans="1:6" x14ac:dyDescent="0.4">
      <c r="A49" s="20" t="s">
        <v>113</v>
      </c>
      <c r="B49" s="15"/>
      <c r="C49" s="16">
        <v>2350</v>
      </c>
      <c r="D49" s="16">
        <v>2480</v>
      </c>
      <c r="E49" s="16">
        <v>2620</v>
      </c>
      <c r="F49" s="18" t="s">
        <v>114</v>
      </c>
    </row>
    <row r="50" spans="1:6" x14ac:dyDescent="0.4">
      <c r="A50" s="20" t="s">
        <v>115</v>
      </c>
      <c r="B50" s="15"/>
      <c r="C50" s="16">
        <v>1180</v>
      </c>
      <c r="D50" s="16">
        <v>1210</v>
      </c>
      <c r="E50" s="16">
        <v>1250</v>
      </c>
      <c r="F50" s="18" t="s">
        <v>116</v>
      </c>
    </row>
    <row r="51" spans="1:6" x14ac:dyDescent="0.4">
      <c r="A51" s="20" t="s">
        <v>117</v>
      </c>
      <c r="B51" s="15"/>
      <c r="C51" s="16">
        <v>960</v>
      </c>
      <c r="D51" s="16">
        <v>1000</v>
      </c>
      <c r="E51" s="16">
        <v>1030</v>
      </c>
      <c r="F51" s="18" t="s">
        <v>118</v>
      </c>
    </row>
    <row r="52" spans="1:6" x14ac:dyDescent="0.4">
      <c r="A52" s="20" t="s">
        <v>119</v>
      </c>
      <c r="B52" s="15"/>
      <c r="C52" s="16">
        <v>870</v>
      </c>
      <c r="D52" s="16">
        <v>890</v>
      </c>
      <c r="E52" s="16">
        <v>920</v>
      </c>
      <c r="F52" s="18" t="s">
        <v>120</v>
      </c>
    </row>
    <row r="53" spans="1:6" x14ac:dyDescent="0.4">
      <c r="A53" s="20" t="s">
        <v>121</v>
      </c>
      <c r="B53" s="15"/>
      <c r="C53" s="16">
        <v>760</v>
      </c>
      <c r="D53" s="16">
        <v>790</v>
      </c>
      <c r="E53" s="16">
        <v>810</v>
      </c>
      <c r="F53" s="18" t="s">
        <v>122</v>
      </c>
    </row>
    <row r="54" spans="1:6" x14ac:dyDescent="0.4">
      <c r="A54" s="20" t="s">
        <v>123</v>
      </c>
      <c r="B54" s="15"/>
      <c r="C54" s="16">
        <v>640</v>
      </c>
      <c r="D54" s="16">
        <v>660</v>
      </c>
      <c r="E54" s="16">
        <v>690</v>
      </c>
      <c r="F54" s="18" t="s">
        <v>124</v>
      </c>
    </row>
    <row r="55" spans="1:6" x14ac:dyDescent="0.4">
      <c r="A55" s="20" t="s">
        <v>125</v>
      </c>
      <c r="B55" s="15"/>
      <c r="C55" s="16">
        <v>590</v>
      </c>
      <c r="D55" s="16">
        <v>600</v>
      </c>
      <c r="E55" s="16">
        <v>630</v>
      </c>
      <c r="F55" s="18" t="s">
        <v>126</v>
      </c>
    </row>
    <row r="56" spans="1:6" x14ac:dyDescent="0.4">
      <c r="A56" s="20" t="s">
        <v>127</v>
      </c>
      <c r="B56" s="15"/>
      <c r="C56" s="16">
        <v>520</v>
      </c>
      <c r="D56" s="16">
        <v>540</v>
      </c>
      <c r="E56" s="16">
        <v>550</v>
      </c>
      <c r="F56" s="18" t="s">
        <v>128</v>
      </c>
    </row>
    <row r="57" spans="1:6" x14ac:dyDescent="0.4">
      <c r="A57" s="20" t="s">
        <v>129</v>
      </c>
      <c r="B57" s="15"/>
      <c r="C57" s="16">
        <v>450</v>
      </c>
      <c r="D57" s="16">
        <v>470</v>
      </c>
      <c r="E57" s="16">
        <v>500</v>
      </c>
      <c r="F57" s="18" t="s">
        <v>130</v>
      </c>
    </row>
    <row r="58" spans="1:6" x14ac:dyDescent="0.4">
      <c r="A58" s="20" t="s">
        <v>433</v>
      </c>
      <c r="B58" s="15"/>
      <c r="C58" s="16">
        <v>0</v>
      </c>
      <c r="D58" s="16">
        <v>230</v>
      </c>
      <c r="E58" s="16">
        <v>410</v>
      </c>
      <c r="F58" s="18" t="s">
        <v>131</v>
      </c>
    </row>
    <row r="59" spans="1:6" x14ac:dyDescent="0.4">
      <c r="A59" s="20"/>
      <c r="B59" s="15"/>
      <c r="C59" s="16"/>
      <c r="D59" s="16"/>
      <c r="E59" s="16"/>
      <c r="F59" s="18" t="s">
        <v>132</v>
      </c>
    </row>
    <row r="60" spans="1:6" x14ac:dyDescent="0.4">
      <c r="A60" s="20"/>
      <c r="B60" s="15"/>
      <c r="C60" s="16"/>
      <c r="D60" s="16"/>
      <c r="E60" s="16"/>
      <c r="F60" s="18" t="s">
        <v>132</v>
      </c>
    </row>
    <row r="61" spans="1:6" x14ac:dyDescent="0.4">
      <c r="A61" s="19" t="s">
        <v>133</v>
      </c>
      <c r="B61" s="15"/>
      <c r="C61" s="16">
        <v>6880</v>
      </c>
      <c r="D61" s="16">
        <v>7030</v>
      </c>
      <c r="E61" s="16">
        <v>7290</v>
      </c>
      <c r="F61" s="18" t="s">
        <v>134</v>
      </c>
    </row>
    <row r="62" spans="1:6" x14ac:dyDescent="0.4">
      <c r="A62" s="18"/>
      <c r="B62" s="18"/>
      <c r="C62" s="18"/>
      <c r="D62" s="18"/>
      <c r="E62" s="18"/>
      <c r="F62" s="18"/>
    </row>
    <row r="63" spans="1:6" x14ac:dyDescent="0.4">
      <c r="A63" s="12" t="s">
        <v>135</v>
      </c>
      <c r="B63" s="13"/>
      <c r="C63" s="13"/>
      <c r="D63" s="13"/>
      <c r="E63" s="13"/>
      <c r="F63" s="13"/>
    </row>
    <row r="64" spans="1:6" x14ac:dyDescent="0.4">
      <c r="A64" s="20" t="s">
        <v>434</v>
      </c>
      <c r="B64" s="15"/>
      <c r="C64" s="16">
        <v>25</v>
      </c>
      <c r="D64" s="16">
        <v>0</v>
      </c>
      <c r="E64" s="16">
        <v>0</v>
      </c>
      <c r="F64" s="18" t="s">
        <v>136</v>
      </c>
    </row>
    <row r="65" spans="1:6" x14ac:dyDescent="0.4">
      <c r="A65" s="20" t="s">
        <v>435</v>
      </c>
      <c r="B65" s="15"/>
      <c r="C65" s="16">
        <v>0</v>
      </c>
      <c r="D65" s="16">
        <v>35</v>
      </c>
      <c r="E65" s="16">
        <v>0</v>
      </c>
      <c r="F65" s="18" t="s">
        <v>137</v>
      </c>
    </row>
    <row r="66" spans="1:6" x14ac:dyDescent="0.4">
      <c r="A66" s="20" t="s">
        <v>436</v>
      </c>
      <c r="B66" s="15"/>
      <c r="C66" s="16">
        <v>0</v>
      </c>
      <c r="D66" s="16">
        <v>0</v>
      </c>
      <c r="E66" s="16">
        <v>40</v>
      </c>
      <c r="F66" s="18" t="s">
        <v>138</v>
      </c>
    </row>
    <row r="67" spans="1:6" x14ac:dyDescent="0.4">
      <c r="A67" s="20"/>
      <c r="B67" s="15"/>
      <c r="C67" s="16"/>
      <c r="D67" s="16"/>
      <c r="E67" s="16"/>
      <c r="F67" s="18" t="s">
        <v>132</v>
      </c>
    </row>
    <row r="68" spans="1:6" x14ac:dyDescent="0.4">
      <c r="A68" s="20"/>
      <c r="B68" s="15"/>
      <c r="C68" s="16"/>
      <c r="D68" s="16"/>
      <c r="E68" s="16"/>
      <c r="F68" s="18" t="s">
        <v>132</v>
      </c>
    </row>
    <row r="69" spans="1:6" x14ac:dyDescent="0.4">
      <c r="A69" s="18"/>
      <c r="B69" s="18"/>
      <c r="C69" s="18"/>
      <c r="D69" s="18"/>
      <c r="E69" s="18"/>
      <c r="F69" s="18"/>
    </row>
    <row r="70" spans="1:6" x14ac:dyDescent="0.4">
      <c r="A70" s="12" t="s">
        <v>139</v>
      </c>
      <c r="B70" s="13"/>
      <c r="C70" s="13"/>
      <c r="D70" s="13"/>
      <c r="E70" s="13"/>
      <c r="F70" s="13"/>
    </row>
    <row r="71" spans="1:6" x14ac:dyDescent="0.4">
      <c r="A71" s="19" t="s">
        <v>140</v>
      </c>
      <c r="B71" s="15"/>
      <c r="C71" s="15"/>
      <c r="D71" s="15"/>
      <c r="E71" s="16">
        <v>1320</v>
      </c>
      <c r="F71" s="18" t="s">
        <v>437</v>
      </c>
    </row>
    <row r="72" spans="1:6" x14ac:dyDescent="0.4">
      <c r="A72" s="19" t="s">
        <v>141</v>
      </c>
      <c r="B72" s="15"/>
      <c r="C72" s="15"/>
      <c r="D72" s="15"/>
      <c r="E72" s="16">
        <v>360</v>
      </c>
      <c r="F72" s="18" t="s">
        <v>438</v>
      </c>
    </row>
    <row r="73" spans="1:6" x14ac:dyDescent="0.4">
      <c r="A73" s="19" t="s">
        <v>142</v>
      </c>
      <c r="B73" s="15"/>
      <c r="C73" s="15"/>
      <c r="D73" s="15"/>
      <c r="E73" s="21">
        <v>3</v>
      </c>
      <c r="F73" s="18" t="s">
        <v>439</v>
      </c>
    </row>
    <row r="74" spans="1:6" x14ac:dyDescent="0.4">
      <c r="A74" s="18"/>
      <c r="B74" s="18"/>
      <c r="C74" s="18"/>
      <c r="D74" s="18"/>
      <c r="E74" s="18"/>
      <c r="F74" s="18"/>
    </row>
    <row r="75" spans="1:6" x14ac:dyDescent="0.4">
      <c r="A75" s="12" t="s">
        <v>143</v>
      </c>
      <c r="B75" s="13"/>
      <c r="C75" s="13"/>
      <c r="D75" s="13"/>
      <c r="E75" s="13"/>
      <c r="F75" s="13"/>
    </row>
    <row r="76" spans="1:6" x14ac:dyDescent="0.4">
      <c r="A76" s="19" t="s">
        <v>144</v>
      </c>
      <c r="B76" s="22" t="s">
        <v>145</v>
      </c>
      <c r="C76" s="18"/>
      <c r="D76" s="18"/>
      <c r="E76" s="18"/>
      <c r="F76" s="18"/>
    </row>
    <row r="77" spans="1:6" x14ac:dyDescent="0.4">
      <c r="A77" s="19" t="s">
        <v>146</v>
      </c>
      <c r="B77" s="22" t="s">
        <v>145</v>
      </c>
      <c r="C77" s="18"/>
      <c r="D77" s="18"/>
      <c r="E77" s="18"/>
      <c r="F77" s="18"/>
    </row>
    <row r="78" spans="1:6" x14ac:dyDescent="0.4">
      <c r="A78" s="19" t="s">
        <v>85</v>
      </c>
      <c r="B78" s="22" t="s">
        <v>145</v>
      </c>
      <c r="C78" s="18"/>
      <c r="D78" s="18"/>
      <c r="E78" s="18"/>
      <c r="F78" s="18"/>
    </row>
    <row r="79" spans="1:6" x14ac:dyDescent="0.4">
      <c r="A79" s="19" t="s">
        <v>147</v>
      </c>
      <c r="B79" s="22" t="s">
        <v>145</v>
      </c>
      <c r="C79" s="18"/>
      <c r="D79" s="18"/>
      <c r="E79" s="18"/>
      <c r="F79" s="18"/>
    </row>
    <row r="80" spans="1:6" x14ac:dyDescent="0.4">
      <c r="A80" s="19" t="s">
        <v>148</v>
      </c>
      <c r="B80" s="22" t="s">
        <v>145</v>
      </c>
      <c r="C80" s="18"/>
      <c r="D80" s="18"/>
      <c r="E80" s="18"/>
      <c r="F80" s="18"/>
    </row>
    <row r="81" spans="1:6" x14ac:dyDescent="0.4">
      <c r="A81" s="19" t="s">
        <v>149</v>
      </c>
      <c r="B81" s="22" t="s">
        <v>145</v>
      </c>
      <c r="C81" s="18"/>
      <c r="D81" s="18"/>
      <c r="E81" s="18"/>
      <c r="F81" s="18"/>
    </row>
    <row r="82" spans="1:6" x14ac:dyDescent="0.4">
      <c r="A82" s="19" t="s">
        <v>150</v>
      </c>
      <c r="B82" s="22" t="s">
        <v>145</v>
      </c>
      <c r="C82" s="18"/>
      <c r="D82" s="18"/>
      <c r="E82" s="18"/>
      <c r="F82" s="18"/>
    </row>
    <row r="83" spans="1:6" x14ac:dyDescent="0.4">
      <c r="A83" s="19" t="s">
        <v>151</v>
      </c>
      <c r="B83" s="22" t="s">
        <v>145</v>
      </c>
      <c r="C83" s="18"/>
      <c r="D83" s="18"/>
      <c r="E83" s="18"/>
      <c r="F83" s="18"/>
    </row>
    <row r="84" spans="1:6" x14ac:dyDescent="0.4">
      <c r="A84" s="19" t="s">
        <v>152</v>
      </c>
      <c r="B84" s="22" t="s">
        <v>145</v>
      </c>
      <c r="C84" s="18"/>
      <c r="D84" s="18"/>
      <c r="E84" s="18"/>
      <c r="F84" s="18"/>
    </row>
    <row r="85" spans="1:6" x14ac:dyDescent="0.4">
      <c r="A85" s="19" t="s">
        <v>153</v>
      </c>
      <c r="B85" s="22" t="s">
        <v>145</v>
      </c>
      <c r="C85" s="18"/>
      <c r="D85" s="18"/>
      <c r="E85" s="18"/>
      <c r="F85" s="18"/>
    </row>
    <row r="86" spans="1:6" x14ac:dyDescent="0.4">
      <c r="A86" s="18"/>
      <c r="B86" s="18"/>
      <c r="C86" s="18"/>
      <c r="D86" s="18"/>
      <c r="E86" s="18"/>
      <c r="F86" s="18"/>
    </row>
  </sheetData>
  <dataValidations count="1">
    <dataValidation type="list" sqref="B76:B85" xr:uid="{00000000-0002-0000-02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9140625" defaultRowHeight="14.6" x14ac:dyDescent="0.4"/>
  <cols>
    <col min="1" max="1" width="50" customWidth="1"/>
    <col min="2" max="5" width="11" customWidth="1"/>
    <col min="6" max="6" width="62" customWidth="1"/>
  </cols>
  <sheetData>
    <row r="1" spans="1:6" ht="17.600000000000001" x14ac:dyDescent="0.4">
      <c r="A1" s="1" t="s">
        <v>154</v>
      </c>
    </row>
    <row r="2" spans="1:6" x14ac:dyDescent="0.4">
      <c r="A2" s="2" t="s">
        <v>155</v>
      </c>
    </row>
    <row r="4" spans="1:6" x14ac:dyDescent="0.4">
      <c r="A4" s="7" t="s">
        <v>156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157</v>
      </c>
    </row>
    <row r="5" spans="1:6" x14ac:dyDescent="0.4">
      <c r="A5" s="12" t="s">
        <v>158</v>
      </c>
      <c r="B5" s="23"/>
      <c r="C5" s="23"/>
      <c r="D5" s="23"/>
      <c r="E5" s="23"/>
      <c r="F5" s="23"/>
    </row>
    <row r="6" spans="1:6" x14ac:dyDescent="0.4">
      <c r="A6" s="14" t="s">
        <v>159</v>
      </c>
      <c r="B6" s="17"/>
      <c r="C6" s="24">
        <f>Input!C6</f>
        <v>15200</v>
      </c>
      <c r="D6" s="24">
        <f>Input!D6</f>
        <v>15900</v>
      </c>
      <c r="E6" s="24">
        <f>Input!E6</f>
        <v>16700</v>
      </c>
      <c r="F6" s="2" t="s">
        <v>160</v>
      </c>
    </row>
    <row r="7" spans="1:6" x14ac:dyDescent="0.4">
      <c r="A7" s="14" t="s">
        <v>161</v>
      </c>
      <c r="B7" s="17"/>
      <c r="C7" s="25" t="s">
        <v>162</v>
      </c>
      <c r="D7" s="26">
        <f>D6/C6-1</f>
        <v>4.6052631578947345E-2</v>
      </c>
      <c r="E7" s="26">
        <f>E6/D6-1</f>
        <v>5.031446540880502E-2</v>
      </c>
      <c r="F7" s="2" t="s">
        <v>163</v>
      </c>
    </row>
    <row r="8" spans="1:6" x14ac:dyDescent="0.4">
      <c r="A8" s="14" t="s">
        <v>164</v>
      </c>
      <c r="B8" s="17"/>
      <c r="C8" s="25" t="s">
        <v>162</v>
      </c>
      <c r="D8" s="24">
        <f>SUM(D69:D80)</f>
        <v>230</v>
      </c>
      <c r="E8" s="24">
        <f>SUM(E69:E80)</f>
        <v>0</v>
      </c>
      <c r="F8" s="2" t="s">
        <v>165</v>
      </c>
    </row>
    <row r="9" spans="1:6" x14ac:dyDescent="0.4">
      <c r="A9" s="14" t="s">
        <v>166</v>
      </c>
      <c r="B9" s="17"/>
      <c r="C9" s="25" t="s">
        <v>162</v>
      </c>
      <c r="D9" s="26">
        <f>D8/D6</f>
        <v>1.4465408805031447E-2</v>
      </c>
      <c r="E9" s="26">
        <f>E8/E6</f>
        <v>0</v>
      </c>
      <c r="F9" s="2" t="s">
        <v>167</v>
      </c>
    </row>
    <row r="10" spans="1:6" x14ac:dyDescent="0.4">
      <c r="A10" s="14" t="s">
        <v>168</v>
      </c>
      <c r="B10" s="17"/>
      <c r="C10" s="25" t="s">
        <v>162</v>
      </c>
      <c r="D10" s="27" t="str">
        <f>IF(D8=0,"—",INDEX($A$69:$A$80,MATCH(MAX(D69:D80),D69:D80,0)))</f>
        <v>Cliente J</v>
      </c>
      <c r="E10" s="27" t="str">
        <f>IF(E8=0,"—",INDEX($A$69:$A$80,MATCH(MAX(E69:E80),E69:E80,0)))</f>
        <v>—</v>
      </c>
      <c r="F10" s="2" t="s">
        <v>169</v>
      </c>
    </row>
    <row r="11" spans="1:6" x14ac:dyDescent="0.4">
      <c r="A11" s="14" t="s">
        <v>170</v>
      </c>
      <c r="B11" s="17"/>
      <c r="C11" s="25" t="s">
        <v>162</v>
      </c>
      <c r="D11" s="26">
        <f>(D6-D8)/C6-1</f>
        <v>3.0921052631578849E-2</v>
      </c>
      <c r="E11" s="26">
        <f>(E6-E8)/D6-1</f>
        <v>5.031446540880502E-2</v>
      </c>
      <c r="F11" s="2" t="s">
        <v>171</v>
      </c>
    </row>
    <row r="12" spans="1:6" x14ac:dyDescent="0.4">
      <c r="A12" s="14" t="s">
        <v>172</v>
      </c>
      <c r="B12" s="17"/>
      <c r="C12" s="26">
        <f>MAX(Input!C49:C60)/C6</f>
        <v>0.15460526315789475</v>
      </c>
      <c r="D12" s="26">
        <f>MAX(Input!D49:D60)/D6</f>
        <v>0.15597484276729559</v>
      </c>
      <c r="E12" s="26">
        <f>MAX(Input!E49:E60)/E6</f>
        <v>0.15688622754491019</v>
      </c>
      <c r="F12" s="2" t="s">
        <v>173</v>
      </c>
    </row>
    <row r="13" spans="1:6" x14ac:dyDescent="0.4">
      <c r="A13" s="14" t="s">
        <v>174</v>
      </c>
      <c r="B13" s="17"/>
      <c r="C13" s="27" t="str">
        <f>INDEX(Input!$A$49:$A$60,MATCH(MAX(Input!C49:C60),Input!C49:C60,0))</f>
        <v>Cliente A</v>
      </c>
      <c r="D13" s="27" t="str">
        <f>INDEX(Input!$A$49:$A$60,MATCH(MAX(Input!D49:D60),Input!D49:D60,0))</f>
        <v>Cliente A</v>
      </c>
      <c r="E13" s="27" t="str">
        <f>INDEX(Input!$A$49:$A$60,MATCH(MAX(Input!E49:E60),Input!E49:E60,0))</f>
        <v>Cliente A</v>
      </c>
      <c r="F13" s="2" t="s">
        <v>175</v>
      </c>
    </row>
    <row r="14" spans="1:6" x14ac:dyDescent="0.4">
      <c r="A14" s="14" t="s">
        <v>176</v>
      </c>
      <c r="B14" s="17"/>
      <c r="C14" s="24">
        <f>C6-MAX(Input!C49:C60)</f>
        <v>12850</v>
      </c>
      <c r="D14" s="24">
        <f>D6-MAX(Input!D49:D60)-D8</f>
        <v>13190</v>
      </c>
      <c r="E14" s="24">
        <f>E6-MAX(Input!E49:E60)-E8</f>
        <v>14080</v>
      </c>
      <c r="F14" s="2" t="s">
        <v>177</v>
      </c>
    </row>
    <row r="15" spans="1:6" x14ac:dyDescent="0.4">
      <c r="A15" s="14" t="s">
        <v>178</v>
      </c>
      <c r="B15" s="17"/>
      <c r="C15" s="25" t="s">
        <v>162</v>
      </c>
      <c r="D15" s="26">
        <f>D14/C14-1</f>
        <v>2.6459143968871501E-2</v>
      </c>
      <c r="E15" s="26">
        <f>E14/D14-1</f>
        <v>6.7475360121304062E-2</v>
      </c>
      <c r="F15" s="2" t="s">
        <v>179</v>
      </c>
    </row>
    <row r="16" spans="1:6" x14ac:dyDescent="0.4">
      <c r="A16" s="12" t="s">
        <v>180</v>
      </c>
      <c r="B16" s="23"/>
      <c r="C16" s="23"/>
      <c r="D16" s="23"/>
      <c r="E16" s="23"/>
      <c r="F16" s="23"/>
    </row>
    <row r="17" spans="1:6" x14ac:dyDescent="0.4">
      <c r="A17" s="14" t="s">
        <v>181</v>
      </c>
      <c r="B17" s="17"/>
      <c r="C17" s="26">
        <f>(Input!C6+Input!C7)/C6</f>
        <v>0.28000000000000003</v>
      </c>
      <c r="D17" s="26">
        <f>(Input!D6+Input!D7)/D6</f>
        <v>0.28396226415094339</v>
      </c>
      <c r="E17" s="26">
        <f>(Input!E6+Input!E7)/E6</f>
        <v>0.27898203592814369</v>
      </c>
      <c r="F17" s="2" t="s">
        <v>182</v>
      </c>
    </row>
    <row r="18" spans="1:6" x14ac:dyDescent="0.4">
      <c r="A18" s="14" t="s">
        <v>183</v>
      </c>
      <c r="B18" s="17"/>
      <c r="C18" s="25" t="s">
        <v>162</v>
      </c>
      <c r="D18" s="28">
        <f>(D17-C17)*100</f>
        <v>0.3962264150943362</v>
      </c>
      <c r="E18" s="28">
        <f>(E17-D17)*100</f>
        <v>-0.49802282227996986</v>
      </c>
      <c r="F18" s="2" t="s">
        <v>184</v>
      </c>
    </row>
    <row r="19" spans="1:6" x14ac:dyDescent="0.4">
      <c r="A19" s="14" t="s">
        <v>185</v>
      </c>
      <c r="B19" s="17"/>
      <c r="C19" s="24">
        <f>SUM(Input!C6:C12)</f>
        <v>1316</v>
      </c>
      <c r="D19" s="24">
        <f>SUM(Input!D6:D12)</f>
        <v>1440</v>
      </c>
      <c r="E19" s="24">
        <f>SUM(Input!E6:E12)</f>
        <v>1449</v>
      </c>
      <c r="F19" s="2" t="s">
        <v>186</v>
      </c>
    </row>
    <row r="20" spans="1:6" x14ac:dyDescent="0.4">
      <c r="A20" s="14" t="s">
        <v>187</v>
      </c>
      <c r="B20" s="17"/>
      <c r="C20" s="26">
        <f>C19/C6</f>
        <v>8.6578947368421047E-2</v>
      </c>
      <c r="D20" s="26">
        <f>D19/D6</f>
        <v>9.056603773584905E-2</v>
      </c>
      <c r="E20" s="26">
        <f>E19/E6</f>
        <v>8.6766467065868269E-2</v>
      </c>
      <c r="F20" s="2" t="s">
        <v>188</v>
      </c>
    </row>
    <row r="21" spans="1:6" x14ac:dyDescent="0.4">
      <c r="A21" s="14" t="s">
        <v>189</v>
      </c>
      <c r="B21" s="17"/>
      <c r="C21" s="26">
        <f>Input!C11/C6</f>
        <v>3.9473684210526317E-3</v>
      </c>
      <c r="D21" s="26">
        <f>Input!D11/D6</f>
        <v>3.459119496855346E-3</v>
      </c>
      <c r="E21" s="26">
        <f>Input!E11/E6</f>
        <v>3.8922155688622755E-3</v>
      </c>
      <c r="F21" s="2" t="s">
        <v>190</v>
      </c>
    </row>
    <row r="22" spans="1:6" x14ac:dyDescent="0.4">
      <c r="A22" s="14" t="s">
        <v>191</v>
      </c>
      <c r="B22" s="17"/>
      <c r="C22" s="25" t="s">
        <v>162</v>
      </c>
      <c r="D22" s="26">
        <f>IF(Input!C11=0,"n.d.",Input!D11/Input!C11-1)</f>
        <v>-8.333333333333337E-2</v>
      </c>
      <c r="E22" s="26">
        <f>IF(Input!D11=0,"n.d.",Input!E11/Input!D11-1)</f>
        <v>0.18181818181818188</v>
      </c>
      <c r="F22" s="2" t="s">
        <v>192</v>
      </c>
    </row>
    <row r="23" spans="1:6" x14ac:dyDescent="0.4">
      <c r="A23" s="14" t="s">
        <v>193</v>
      </c>
      <c r="B23" s="17"/>
      <c r="C23" s="24">
        <f>-Input!C44</f>
        <v>0</v>
      </c>
      <c r="D23" s="24">
        <f>-Input!D44</f>
        <v>0</v>
      </c>
      <c r="E23" s="24">
        <f>-Input!E44</f>
        <v>5</v>
      </c>
      <c r="F23" s="2" t="s">
        <v>194</v>
      </c>
    </row>
    <row r="24" spans="1:6" x14ac:dyDescent="0.4">
      <c r="A24" s="14" t="s">
        <v>195</v>
      </c>
      <c r="B24" s="17"/>
      <c r="C24" s="26">
        <f>IF(C19&lt;=0,"n.d.",C23/C19)</f>
        <v>0</v>
      </c>
      <c r="D24" s="26">
        <f>IF(D19&lt;=0,"n.d.",D23/D19)</f>
        <v>0</v>
      </c>
      <c r="E24" s="26">
        <f>IF(E19&lt;=0,"n.d.",E23/E19)</f>
        <v>3.450655624568668E-3</v>
      </c>
      <c r="F24" s="2" t="s">
        <v>196</v>
      </c>
    </row>
    <row r="25" spans="1:6" x14ac:dyDescent="0.4">
      <c r="A25" s="14" t="s">
        <v>197</v>
      </c>
      <c r="B25" s="17"/>
      <c r="C25" s="24">
        <f>C19-C23</f>
        <v>1316</v>
      </c>
      <c r="D25" s="24">
        <f>D19-D23</f>
        <v>1440</v>
      </c>
      <c r="E25" s="24">
        <f>E19-E23</f>
        <v>1444</v>
      </c>
      <c r="F25" s="2" t="s">
        <v>198</v>
      </c>
    </row>
    <row r="26" spans="1:6" x14ac:dyDescent="0.4">
      <c r="A26" s="14" t="s">
        <v>199</v>
      </c>
      <c r="B26" s="17"/>
      <c r="C26" s="24">
        <f>SUM(Input!C64:C68)</f>
        <v>25</v>
      </c>
      <c r="D26" s="24">
        <f>SUM(Input!D64:D68)</f>
        <v>35</v>
      </c>
      <c r="E26" s="24">
        <f>SUM(Input!E64:E68)</f>
        <v>40</v>
      </c>
      <c r="F26" s="2" t="s">
        <v>200</v>
      </c>
    </row>
    <row r="27" spans="1:6" x14ac:dyDescent="0.4">
      <c r="A27" s="14" t="s">
        <v>201</v>
      </c>
      <c r="B27" s="17"/>
      <c r="C27" s="24">
        <f>C19+C26</f>
        <v>1341</v>
      </c>
      <c r="D27" s="24">
        <f>D19+D26</f>
        <v>1475</v>
      </c>
      <c r="E27" s="24">
        <f>E19+E26</f>
        <v>1489</v>
      </c>
      <c r="F27" s="2" t="s">
        <v>202</v>
      </c>
    </row>
    <row r="28" spans="1:6" x14ac:dyDescent="0.4">
      <c r="A28" s="14" t="s">
        <v>203</v>
      </c>
      <c r="B28" s="17"/>
      <c r="C28" s="26">
        <f>IF(C19&lt;=0,"n.d.",C26/C19)</f>
        <v>1.8996960486322188E-2</v>
      </c>
      <c r="D28" s="26">
        <f>IF(D19&lt;=0,"n.d.",D26/D19)</f>
        <v>2.4305555555555556E-2</v>
      </c>
      <c r="E28" s="26">
        <f>IF(E19&lt;=0,"n.d.",E26/E19)</f>
        <v>2.7605244996549344E-2</v>
      </c>
      <c r="F28" s="2" t="s">
        <v>204</v>
      </c>
    </row>
    <row r="29" spans="1:6" x14ac:dyDescent="0.4">
      <c r="A29" s="14" t="s">
        <v>205</v>
      </c>
      <c r="B29" s="17"/>
      <c r="C29" s="25" t="s">
        <v>162</v>
      </c>
      <c r="D29" s="25" t="s">
        <v>162</v>
      </c>
      <c r="E29" s="29">
        <f>SUM(E83:E87)</f>
        <v>0</v>
      </c>
      <c r="F29" s="2" t="s">
        <v>206</v>
      </c>
    </row>
    <row r="30" spans="1:6" x14ac:dyDescent="0.4">
      <c r="A30" s="14" t="s">
        <v>207</v>
      </c>
      <c r="B30" s="17"/>
      <c r="C30" s="25" t="s">
        <v>162</v>
      </c>
      <c r="D30" s="25" t="s">
        <v>162</v>
      </c>
      <c r="E30" s="27" t="str">
        <f>IF(E29=0,"—",INDEX($A$83:$A$87,MATCH(1,E83:E87,0)))</f>
        <v>—</v>
      </c>
      <c r="F30" s="2" t="s">
        <v>208</v>
      </c>
    </row>
    <row r="31" spans="1:6" x14ac:dyDescent="0.4">
      <c r="A31" s="12" t="s">
        <v>209</v>
      </c>
      <c r="B31" s="23"/>
      <c r="C31" s="23"/>
      <c r="D31" s="23"/>
      <c r="E31" s="23"/>
      <c r="F31" s="23"/>
    </row>
    <row r="32" spans="1:6" x14ac:dyDescent="0.4">
      <c r="A32" s="14" t="s">
        <v>210</v>
      </c>
      <c r="B32" s="17"/>
      <c r="C32" s="26">
        <f>Input!C22/Input!B22-1</f>
        <v>4.1129032258064413E-2</v>
      </c>
      <c r="D32" s="26">
        <f>Input!D22/Input!C22-1</f>
        <v>4.5701006971339941E-2</v>
      </c>
      <c r="E32" s="26">
        <f>Input!E22/Input!D22-1</f>
        <v>5.1851851851851816E-2</v>
      </c>
      <c r="F32" s="2" t="s">
        <v>211</v>
      </c>
    </row>
    <row r="33" spans="1:6" x14ac:dyDescent="0.4">
      <c r="A33" s="14" t="s">
        <v>212</v>
      </c>
      <c r="B33" s="17"/>
      <c r="C33" s="25" t="s">
        <v>162</v>
      </c>
      <c r="D33" s="28">
        <f>(D32-D7)*100</f>
        <v>-3.5162460760740366E-2</v>
      </c>
      <c r="E33" s="28">
        <f>(E32-E7)*100</f>
        <v>0.15373864430467954</v>
      </c>
      <c r="F33" s="2" t="s">
        <v>213</v>
      </c>
    </row>
    <row r="34" spans="1:6" x14ac:dyDescent="0.4">
      <c r="A34" s="14" t="s">
        <v>214</v>
      </c>
      <c r="B34" s="17"/>
      <c r="C34" s="30">
        <f>Input!C22/C6*365</f>
        <v>62.001973684210526</v>
      </c>
      <c r="D34" s="30">
        <f>Input!D22/D6*365</f>
        <v>61.981132075471692</v>
      </c>
      <c r="E34" s="30">
        <f>Input!E22/E6*365</f>
        <v>62.071856287425149</v>
      </c>
      <c r="F34" s="2" t="s">
        <v>215</v>
      </c>
    </row>
    <row r="35" spans="1:6" x14ac:dyDescent="0.4">
      <c r="A35" s="14" t="s">
        <v>216</v>
      </c>
      <c r="B35" s="17"/>
      <c r="C35" s="25" t="s">
        <v>162</v>
      </c>
      <c r="D35" s="30">
        <f>D34-C34</f>
        <v>-2.0841608738834339E-2</v>
      </c>
      <c r="E35" s="30">
        <f>E34-D34</f>
        <v>9.0724211953457257E-2</v>
      </c>
      <c r="F35" s="2" t="s">
        <v>217</v>
      </c>
    </row>
    <row r="36" spans="1:6" x14ac:dyDescent="0.4">
      <c r="A36" s="14" t="s">
        <v>218</v>
      </c>
      <c r="B36" s="17"/>
      <c r="C36" s="26">
        <f>Input!C21/Input!B21-1</f>
        <v>3.6866359447004671E-2</v>
      </c>
      <c r="D36" s="26">
        <f>Input!D21/Input!C21-1</f>
        <v>4.0000000000000036E-2</v>
      </c>
      <c r="E36" s="26">
        <f>Input!E21/Input!D21-1</f>
        <v>5.555555555555558E-2</v>
      </c>
      <c r="F36" s="2" t="s">
        <v>219</v>
      </c>
    </row>
    <row r="37" spans="1:6" x14ac:dyDescent="0.4">
      <c r="A37" s="14" t="s">
        <v>220</v>
      </c>
      <c r="B37" s="17"/>
      <c r="C37" s="25" t="s">
        <v>162</v>
      </c>
      <c r="D37" s="26">
        <f>Input!D7/Input!C7-1</f>
        <v>4.0296052631578982E-2</v>
      </c>
      <c r="E37" s="26">
        <f>Input!E7/Input!D7-1</f>
        <v>5.7619675010979421E-2</v>
      </c>
      <c r="F37" s="2" t="s">
        <v>221</v>
      </c>
    </row>
    <row r="38" spans="1:6" x14ac:dyDescent="0.4">
      <c r="A38" s="14" t="s">
        <v>222</v>
      </c>
      <c r="B38" s="17"/>
      <c r="C38" s="25" t="s">
        <v>162</v>
      </c>
      <c r="D38" s="28">
        <f>(D36-D37)*100</f>
        <v>-2.960526315789469E-2</v>
      </c>
      <c r="E38" s="28">
        <f>(E36-E37)*100</f>
        <v>-0.20641194554238407</v>
      </c>
      <c r="F38" s="2" t="s">
        <v>223</v>
      </c>
    </row>
    <row r="39" spans="1:6" x14ac:dyDescent="0.4">
      <c r="A39" s="14" t="s">
        <v>224</v>
      </c>
      <c r="B39" s="17"/>
      <c r="C39" s="30">
        <f>Input!C21/-Input!C7*365</f>
        <v>75.04111842105263</v>
      </c>
      <c r="D39" s="30">
        <f>Input!D21/-Input!D7*365</f>
        <v>75.019762845849812</v>
      </c>
      <c r="E39" s="30">
        <f>Input!E21/-Input!E7*365</f>
        <v>74.873349389585584</v>
      </c>
      <c r="F39" s="2" t="s">
        <v>225</v>
      </c>
    </row>
    <row r="40" spans="1:6" x14ac:dyDescent="0.4">
      <c r="A40" s="14" t="s">
        <v>226</v>
      </c>
      <c r="B40" s="17"/>
      <c r="C40" s="30">
        <f>Input!C29/-Input!C7*365</f>
        <v>60.03289473684211</v>
      </c>
      <c r="D40" s="30">
        <f>Input!D29/-Input!D7*365</f>
        <v>59.951690821256044</v>
      </c>
      <c r="E40" s="30">
        <f>Input!E29/-Input!E7*365</f>
        <v>60.019931899343909</v>
      </c>
      <c r="F40" s="2" t="s">
        <v>227</v>
      </c>
    </row>
    <row r="41" spans="1:6" x14ac:dyDescent="0.4">
      <c r="A41" s="14" t="s">
        <v>228</v>
      </c>
      <c r="B41" s="17"/>
      <c r="C41" s="25" t="s">
        <v>162</v>
      </c>
      <c r="D41" s="30">
        <f>D40-C40</f>
        <v>-8.1203915586065989E-2</v>
      </c>
      <c r="E41" s="30">
        <f>E40-D40</f>
        <v>6.8241078087865503E-2</v>
      </c>
      <c r="F41" s="2" t="s">
        <v>229</v>
      </c>
    </row>
    <row r="42" spans="1:6" x14ac:dyDescent="0.4">
      <c r="A42" s="12" t="s">
        <v>230</v>
      </c>
      <c r="B42" s="23"/>
      <c r="C42" s="23"/>
      <c r="D42" s="23"/>
      <c r="E42" s="23"/>
      <c r="F42" s="23"/>
    </row>
    <row r="43" spans="1:6" x14ac:dyDescent="0.4">
      <c r="A43" s="14" t="s">
        <v>231</v>
      </c>
      <c r="B43" s="17"/>
      <c r="C43" s="24">
        <f>Input!C40</f>
        <v>1194</v>
      </c>
      <c r="D43" s="24">
        <f>Input!D40</f>
        <v>1312</v>
      </c>
      <c r="E43" s="24">
        <f>Input!E40</f>
        <v>1294</v>
      </c>
      <c r="F43" s="2" t="s">
        <v>232</v>
      </c>
    </row>
    <row r="44" spans="1:6" x14ac:dyDescent="0.4">
      <c r="A44" s="14" t="s">
        <v>233</v>
      </c>
      <c r="B44" s="17"/>
      <c r="C44" s="26">
        <f>IF(C19&lt;=0,"n.d.",C43/C19)</f>
        <v>0.90729483282674772</v>
      </c>
      <c r="D44" s="26">
        <f>IF(D19&lt;=0,"n.d.",D43/D19)</f>
        <v>0.91111111111111109</v>
      </c>
      <c r="E44" s="26">
        <f>IF(E19&lt;=0,"n.d.",E43/E19)</f>
        <v>0.89302967563837132</v>
      </c>
      <c r="F44" s="2" t="s">
        <v>234</v>
      </c>
    </row>
    <row r="45" spans="1:6" x14ac:dyDescent="0.4">
      <c r="A45" s="14" t="s">
        <v>235</v>
      </c>
      <c r="B45" s="17"/>
      <c r="C45" s="24">
        <f>Input!C41</f>
        <v>882</v>
      </c>
      <c r="D45" s="24">
        <f>Input!D41</f>
        <v>986</v>
      </c>
      <c r="E45" s="24">
        <f>Input!E41</f>
        <v>985</v>
      </c>
      <c r="F45" s="2" t="s">
        <v>236</v>
      </c>
    </row>
    <row r="46" spans="1:6" x14ac:dyDescent="0.4">
      <c r="A46" s="14" t="s">
        <v>237</v>
      </c>
      <c r="B46" s="17"/>
      <c r="C46" s="24">
        <f>Input!C41+Input!C42+Input!C43</f>
        <v>552</v>
      </c>
      <c r="D46" s="24">
        <f>Input!D41+Input!D42+Input!D43</f>
        <v>636</v>
      </c>
      <c r="E46" s="24">
        <f>Input!E41+Input!E42+Input!E43</f>
        <v>625</v>
      </c>
      <c r="F46" s="2" t="s">
        <v>238</v>
      </c>
    </row>
    <row r="47" spans="1:6" x14ac:dyDescent="0.4">
      <c r="A47" s="14" t="s">
        <v>239</v>
      </c>
      <c r="B47" s="17"/>
      <c r="C47" s="26">
        <f>-Input!C42/C6</f>
        <v>2.1710526315789475E-2</v>
      </c>
      <c r="D47" s="26">
        <f>-Input!D42/D6</f>
        <v>2.20125786163522E-2</v>
      </c>
      <c r="E47" s="26">
        <f>-Input!E42/E6</f>
        <v>2.2754491017964073E-2</v>
      </c>
      <c r="F47" s="2" t="s">
        <v>240</v>
      </c>
    </row>
    <row r="48" spans="1:6" x14ac:dyDescent="0.4">
      <c r="A48" s="12" t="s">
        <v>241</v>
      </c>
      <c r="B48" s="23"/>
      <c r="C48" s="23"/>
      <c r="D48" s="23"/>
      <c r="E48" s="23"/>
      <c r="F48" s="23"/>
    </row>
    <row r="49" spans="1:6" x14ac:dyDescent="0.4">
      <c r="A49" s="14" t="s">
        <v>242</v>
      </c>
      <c r="B49" s="24">
        <f>Input!B27+Input!B30</f>
        <v>2400</v>
      </c>
      <c r="C49" s="24">
        <f>Input!C27+Input!C30</f>
        <v>2040</v>
      </c>
      <c r="D49" s="24">
        <f>Input!D27+Input!D30</f>
        <v>1680</v>
      </c>
      <c r="E49" s="24">
        <f>Input!E27+Input!E30</f>
        <v>1320</v>
      </c>
      <c r="F49" s="2" t="s">
        <v>243</v>
      </c>
    </row>
    <row r="50" spans="1:6" x14ac:dyDescent="0.4">
      <c r="A50" s="14" t="s">
        <v>244</v>
      </c>
      <c r="B50" s="26">
        <f>IF(B49=0,"n.d.",Input!B30/B49)</f>
        <v>0.15</v>
      </c>
      <c r="C50" s="26">
        <f>IF(C49=0,"n.d.",Input!C30/C49)</f>
        <v>0.17647058823529413</v>
      </c>
      <c r="D50" s="26">
        <f>IF(D49=0,"n.d.",Input!D30/D49)</f>
        <v>0.21428571428571427</v>
      </c>
      <c r="E50" s="26">
        <f>IF(E49=0,"n.d.",Input!E30/E49)</f>
        <v>0.27272727272727271</v>
      </c>
      <c r="F50" s="2" t="s">
        <v>245</v>
      </c>
    </row>
    <row r="51" spans="1:6" x14ac:dyDescent="0.4">
      <c r="A51" s="14" t="s">
        <v>246</v>
      </c>
      <c r="B51" s="24">
        <f>B49-Input!B24</f>
        <v>1700</v>
      </c>
      <c r="C51" s="24">
        <f>C49-Input!C24</f>
        <v>1398</v>
      </c>
      <c r="D51" s="24">
        <f>D49-Input!D24</f>
        <v>1062</v>
      </c>
      <c r="E51" s="24">
        <f>E49-Input!E24</f>
        <v>767</v>
      </c>
      <c r="F51" s="2" t="s">
        <v>247</v>
      </c>
    </row>
    <row r="52" spans="1:6" x14ac:dyDescent="0.4">
      <c r="A52" s="14" t="s">
        <v>248</v>
      </c>
      <c r="B52" s="17"/>
      <c r="C52" s="31">
        <f>IF(C19&lt;=0,"n.d.",C51/C19)</f>
        <v>1.0623100303951367</v>
      </c>
      <c r="D52" s="31">
        <f>IF(D19&lt;=0,"n.d.",D51/D19)</f>
        <v>0.73750000000000004</v>
      </c>
      <c r="E52" s="31">
        <f>IF(E19&lt;=0,"n.d.",E51/E19)</f>
        <v>0.52933057280883367</v>
      </c>
      <c r="F52" s="2" t="s">
        <v>249</v>
      </c>
    </row>
    <row r="53" spans="1:6" x14ac:dyDescent="0.4">
      <c r="A53" s="14" t="s">
        <v>250</v>
      </c>
      <c r="B53" s="17"/>
      <c r="C53" s="31">
        <f>IF(C25&lt;=0,"n.d.",C51/C25)</f>
        <v>1.0623100303951367</v>
      </c>
      <c r="D53" s="31">
        <f>IF(D25&lt;=0,"n.d.",D51/D25)</f>
        <v>0.73750000000000004</v>
      </c>
      <c r="E53" s="31">
        <f>IF(E25&lt;=0,"n.d.",E51/E25)</f>
        <v>0.53116343490304707</v>
      </c>
      <c r="F53" s="2" t="s">
        <v>251</v>
      </c>
    </row>
    <row r="54" spans="1:6" x14ac:dyDescent="0.4">
      <c r="A54" s="14" t="s">
        <v>252</v>
      </c>
      <c r="B54" s="17"/>
      <c r="C54" s="25" t="s">
        <v>162</v>
      </c>
      <c r="D54" s="25" t="s">
        <v>162</v>
      </c>
      <c r="E54" s="31">
        <f>Input!E73</f>
        <v>3</v>
      </c>
      <c r="F54" s="2" t="s">
        <v>253</v>
      </c>
    </row>
    <row r="55" spans="1:6" x14ac:dyDescent="0.4">
      <c r="A55" s="14" t="s">
        <v>254</v>
      </c>
      <c r="B55" s="17"/>
      <c r="C55" s="25" t="s">
        <v>162</v>
      </c>
      <c r="D55" s="25" t="s">
        <v>162</v>
      </c>
      <c r="E55" s="26">
        <f>IF(ISNUMBER(E52),1-E52/E54,"n.d.")</f>
        <v>0.82355647573038882</v>
      </c>
      <c r="F55" s="2" t="s">
        <v>255</v>
      </c>
    </row>
    <row r="56" spans="1:6" x14ac:dyDescent="0.4">
      <c r="A56" s="14" t="s">
        <v>256</v>
      </c>
      <c r="B56" s="17"/>
      <c r="C56" s="25" t="s">
        <v>162</v>
      </c>
      <c r="D56" s="25" t="s">
        <v>162</v>
      </c>
      <c r="E56" s="24">
        <f>E51/E54</f>
        <v>255.66666666666666</v>
      </c>
      <c r="F56" s="2" t="s">
        <v>257</v>
      </c>
    </row>
    <row r="57" spans="1:6" x14ac:dyDescent="0.4">
      <c r="A57" s="12" t="s">
        <v>258</v>
      </c>
      <c r="B57" s="23"/>
      <c r="C57" s="23"/>
      <c r="D57" s="23"/>
      <c r="E57" s="23"/>
      <c r="F57" s="23"/>
    </row>
    <row r="58" spans="1:6" x14ac:dyDescent="0.4">
      <c r="A58" s="14" t="s">
        <v>259</v>
      </c>
      <c r="B58" s="24">
        <f>(Input!B19+Input!B20+Input!B21+Input!B22+Input!B23+Input!B24)-(Input!B25+Input!B27+Input!B28+Input!B29+Input!B30+Input!B31)</f>
        <v>0</v>
      </c>
      <c r="C58" s="24">
        <f>(Input!C19+Input!C20+Input!C21+Input!C22+Input!C23+Input!C24)-(Input!C25+Input!C27+Input!C28+Input!C29+Input!C30+Input!C31)</f>
        <v>0</v>
      </c>
      <c r="D58" s="24">
        <f>(Input!D19+Input!D20+Input!D21+Input!D22+Input!D23+Input!D24)-(Input!D25+Input!D27+Input!D28+Input!D29+Input!D30+Input!D31)</f>
        <v>0</v>
      </c>
      <c r="E58" s="24">
        <f>(Input!E19+Input!E20+Input!E21+Input!E22+Input!E23+Input!E24)-(Input!E25+Input!E27+Input!E28+Input!E29+Input!E30+Input!E31)</f>
        <v>0</v>
      </c>
      <c r="F58" s="2" t="s">
        <v>260</v>
      </c>
    </row>
    <row r="59" spans="1:6" x14ac:dyDescent="0.4">
      <c r="A59" s="14" t="s">
        <v>261</v>
      </c>
      <c r="B59" s="17"/>
      <c r="C59" s="24">
        <f>Input!C46-Input!C24</f>
        <v>0</v>
      </c>
      <c r="D59" s="24">
        <f>Input!D46-Input!D24</f>
        <v>0</v>
      </c>
      <c r="E59" s="24">
        <f>Input!E46-Input!E24</f>
        <v>0</v>
      </c>
      <c r="F59" s="2" t="s">
        <v>260</v>
      </c>
    </row>
    <row r="60" spans="1:6" x14ac:dyDescent="0.4">
      <c r="A60" s="14" t="s">
        <v>262</v>
      </c>
      <c r="B60" s="17"/>
      <c r="C60" s="24">
        <f>ABS(Input!C35+(Input!C22-Input!B22))+ABS(Input!C36+(Input!C21-Input!B21))+ABS(Input!C37-(Input!C29-Input!B29))+ABS(Input!C38+(Input!C23-Input!B23))+ABS(Input!C39-(Input!C31-Input!B31))</f>
        <v>0</v>
      </c>
      <c r="D60" s="24">
        <f>ABS(Input!D35+(Input!D22-Input!C22))+ABS(Input!D36+(Input!D21-Input!C21))+ABS(Input!D37-(Input!D29-Input!C29))+ABS(Input!D38+(Input!D23-Input!C23))+ABS(Input!D39-(Input!D31-Input!C31))</f>
        <v>0</v>
      </c>
      <c r="E60" s="24">
        <f>ABS(Input!E35+(Input!E22-Input!D22))+ABS(Input!E36+(Input!E21-Input!D21))+ABS(Input!E37-(Input!E29-Input!D29))+ABS(Input!E38+(Input!E23-Input!D23))+ABS(Input!E39-(Input!E31-Input!D31))</f>
        <v>0</v>
      </c>
      <c r="F60" s="2" t="s">
        <v>263</v>
      </c>
    </row>
    <row r="61" spans="1:6" x14ac:dyDescent="0.4">
      <c r="A61" s="14" t="s">
        <v>264</v>
      </c>
      <c r="B61" s="17"/>
      <c r="C61" s="24">
        <f>MAX(ABS(Input!C16-Input!C26),ABS(Input!C16-Input!C34))</f>
        <v>0</v>
      </c>
      <c r="D61" s="24">
        <f>MAX(ABS(Input!D16-Input!D26),ABS(Input!D16-Input!D34))</f>
        <v>0</v>
      </c>
      <c r="E61" s="24">
        <f>MAX(ABS(Input!E16-Input!E26),ABS(Input!E16-Input!E34))</f>
        <v>0</v>
      </c>
      <c r="F61" s="2" t="s">
        <v>260</v>
      </c>
    </row>
    <row r="62" spans="1:6" x14ac:dyDescent="0.4">
      <c r="A62" s="14" t="s">
        <v>265</v>
      </c>
      <c r="B62" s="17"/>
      <c r="C62" s="24">
        <f>SUM(Input!C49:C61)-C6</f>
        <v>0</v>
      </c>
      <c r="D62" s="24">
        <f>SUM(Input!D49:D61)-D6</f>
        <v>0</v>
      </c>
      <c r="E62" s="24">
        <f>SUM(Input!E49:E61)-E6</f>
        <v>0</v>
      </c>
      <c r="F62" s="2" t="s">
        <v>260</v>
      </c>
    </row>
    <row r="63" spans="1:6" x14ac:dyDescent="0.4">
      <c r="A63" s="14" t="s">
        <v>266</v>
      </c>
      <c r="B63" s="17"/>
      <c r="C63" s="25" t="s">
        <v>162</v>
      </c>
      <c r="D63" s="25" t="s">
        <v>162</v>
      </c>
      <c r="E63" s="24">
        <f>ABS(Input!E71-E49)+ABS(Input!E72-Input!E30)</f>
        <v>0</v>
      </c>
      <c r="F63" s="2" t="s">
        <v>267</v>
      </c>
    </row>
    <row r="64" spans="1:6" x14ac:dyDescent="0.4">
      <c r="A64" s="12" t="s">
        <v>268</v>
      </c>
      <c r="B64" s="23"/>
      <c r="C64" s="23"/>
      <c r="D64" s="23"/>
      <c r="E64" s="23"/>
      <c r="F64" s="23"/>
    </row>
    <row r="65" spans="1:6" x14ac:dyDescent="0.4">
      <c r="A65" s="14" t="s">
        <v>269</v>
      </c>
      <c r="B65" s="17"/>
      <c r="C65" s="25" t="s">
        <v>162</v>
      </c>
      <c r="D65" s="25" t="s">
        <v>162</v>
      </c>
      <c r="E65" s="29">
        <f>COUNTIF(Input!B76:B85,"Não")</f>
        <v>0</v>
      </c>
      <c r="F65" s="2" t="s">
        <v>270</v>
      </c>
    </row>
    <row r="66" spans="1:6" x14ac:dyDescent="0.4">
      <c r="A66" s="14" t="s">
        <v>271</v>
      </c>
      <c r="B66" s="17"/>
      <c r="C66" s="25" t="s">
        <v>162</v>
      </c>
      <c r="D66" s="25" t="s">
        <v>162</v>
      </c>
      <c r="E66" s="27" t="str">
        <f>IF(LEN(IF(Input!B76="Não",Input!A76&amp;"; ","")&amp;IF(Input!B77="Não",Input!A77&amp;"; ","")&amp;IF(Input!B78="Não",Input!A78&amp;"; ","")&amp;IF(Input!B79="Não",Input!A79&amp;"; ","")&amp;IF(Input!B80="Não",Input!A80&amp;"; ","")&amp;IF(Input!B81="Não",Input!A81&amp;"; ","")&amp;IF(Input!B82="Não",Input!A82&amp;"; ","")&amp;IF(Input!B83="Não",Input!A83&amp;"; ","")&amp;IF(Input!B84="Não",Input!A84&amp;"; ","")&amp;IF(Input!B85="Não",Input!A85&amp;"; ",""))=0,"—",LEFT(IF(Input!B76="Não",Input!A76&amp;"; ","")&amp;IF(Input!B77="Não",Input!A77&amp;"; ","")&amp;IF(Input!B78="Não",Input!A78&amp;"; ","")&amp;IF(Input!B79="Não",Input!A79&amp;"; ","")&amp;IF(Input!B80="Não",Input!A80&amp;"; ","")&amp;IF(Input!B81="Não",Input!A81&amp;"; ","")&amp;IF(Input!B82="Não",Input!A82&amp;"; ","")&amp;IF(Input!B83="Não",Input!A83&amp;"; ","")&amp;IF(Input!B84="Não",Input!A84&amp;"; ","")&amp;IF(Input!B85="Não",Input!A85&amp;"; ",""),LEN(IF(Input!B76="Não",Input!A76&amp;"; ","")&amp;IF(Input!B77="Não",Input!A77&amp;"; ","")&amp;IF(Input!B78="Não",Input!A78&amp;"; ","")&amp;IF(Input!B79="Não",Input!A79&amp;"; ","")&amp;IF(Input!B80="Não",Input!A80&amp;"; ","")&amp;IF(Input!B81="Não",Input!A81&amp;"; ","")&amp;IF(Input!B82="Não",Input!A82&amp;"; ","")&amp;IF(Input!B83="Não",Input!A83&amp;"; ","")&amp;IF(Input!B84="Não",Input!A84&amp;"; ","")&amp;IF(Input!B85="Não",Input!A85&amp;"; ",""))-2))</f>
        <v>—</v>
      </c>
      <c r="F66" s="2" t="s">
        <v>272</v>
      </c>
    </row>
    <row r="67" spans="1:6" x14ac:dyDescent="0.4">
      <c r="A67" s="32"/>
      <c r="B67" s="32"/>
      <c r="C67" s="32"/>
      <c r="D67" s="32"/>
      <c r="E67" s="32"/>
      <c r="F67" s="32"/>
    </row>
    <row r="68" spans="1:6" x14ac:dyDescent="0.4">
      <c r="A68" s="12" t="s">
        <v>273</v>
      </c>
      <c r="B68" s="23"/>
      <c r="C68" s="23"/>
      <c r="D68" s="23"/>
      <c r="E68" s="23"/>
      <c r="F68" s="23"/>
    </row>
    <row r="69" spans="1:6" x14ac:dyDescent="0.4">
      <c r="A69" s="33" t="str">
        <f>IF(Input!A49="","",Input!A49)</f>
        <v>Cliente A</v>
      </c>
      <c r="B69" s="32"/>
      <c r="C69" s="34" t="s">
        <v>162</v>
      </c>
      <c r="D69" s="35">
        <f>IF(AND(N(Input!C49)=0,N(Input!D49)&gt;0),Input!D49,0)</f>
        <v>0</v>
      </c>
      <c r="E69" s="35">
        <f>IF(AND(N(Input!D49)=0,N(Input!E49)&gt;0),Input!E49,0)</f>
        <v>0</v>
      </c>
      <c r="F69" s="32"/>
    </row>
    <row r="70" spans="1:6" x14ac:dyDescent="0.4">
      <c r="A70" s="33" t="str">
        <f>IF(Input!A50="","",Input!A50)</f>
        <v>Cliente B</v>
      </c>
      <c r="B70" s="32"/>
      <c r="C70" s="34" t="s">
        <v>162</v>
      </c>
      <c r="D70" s="35">
        <f>IF(AND(N(Input!C50)=0,N(Input!D50)&gt;0),Input!D50,0)</f>
        <v>0</v>
      </c>
      <c r="E70" s="35">
        <f>IF(AND(N(Input!D50)=0,N(Input!E50)&gt;0),Input!E50,0)</f>
        <v>0</v>
      </c>
      <c r="F70" s="32"/>
    </row>
    <row r="71" spans="1:6" x14ac:dyDescent="0.4">
      <c r="A71" s="33" t="str">
        <f>IF(Input!A51="","",Input!A51)</f>
        <v>Cliente C</v>
      </c>
      <c r="B71" s="32"/>
      <c r="C71" s="34" t="s">
        <v>162</v>
      </c>
      <c r="D71" s="35">
        <f>IF(AND(N(Input!C51)=0,N(Input!D51)&gt;0),Input!D51,0)</f>
        <v>0</v>
      </c>
      <c r="E71" s="35">
        <f>IF(AND(N(Input!D51)=0,N(Input!E51)&gt;0),Input!E51,0)</f>
        <v>0</v>
      </c>
      <c r="F71" s="32"/>
    </row>
    <row r="72" spans="1:6" x14ac:dyDescent="0.4">
      <c r="A72" s="33" t="str">
        <f>IF(Input!A52="","",Input!A52)</f>
        <v>Cliente D</v>
      </c>
      <c r="B72" s="32"/>
      <c r="C72" s="34" t="s">
        <v>162</v>
      </c>
      <c r="D72" s="35">
        <f>IF(AND(N(Input!C52)=0,N(Input!D52)&gt;0),Input!D52,0)</f>
        <v>0</v>
      </c>
      <c r="E72" s="35">
        <f>IF(AND(N(Input!D52)=0,N(Input!E52)&gt;0),Input!E52,0)</f>
        <v>0</v>
      </c>
      <c r="F72" s="32"/>
    </row>
    <row r="73" spans="1:6" x14ac:dyDescent="0.4">
      <c r="A73" s="33" t="str">
        <f>IF(Input!A53="","",Input!A53)</f>
        <v>Cliente E</v>
      </c>
      <c r="B73" s="32"/>
      <c r="C73" s="34" t="s">
        <v>162</v>
      </c>
      <c r="D73" s="35">
        <f>IF(AND(N(Input!C53)=0,N(Input!D53)&gt;0),Input!D53,0)</f>
        <v>0</v>
      </c>
      <c r="E73" s="35">
        <f>IF(AND(N(Input!D53)=0,N(Input!E53)&gt;0),Input!E53,0)</f>
        <v>0</v>
      </c>
      <c r="F73" s="32"/>
    </row>
    <row r="74" spans="1:6" x14ac:dyDescent="0.4">
      <c r="A74" s="33" t="str">
        <f>IF(Input!A54="","",Input!A54)</f>
        <v>Cliente F</v>
      </c>
      <c r="B74" s="32"/>
      <c r="C74" s="34" t="s">
        <v>162</v>
      </c>
      <c r="D74" s="35">
        <f>IF(AND(N(Input!C54)=0,N(Input!D54)&gt;0),Input!D54,0)</f>
        <v>0</v>
      </c>
      <c r="E74" s="35">
        <f>IF(AND(N(Input!D54)=0,N(Input!E54)&gt;0),Input!E54,0)</f>
        <v>0</v>
      </c>
      <c r="F74" s="32"/>
    </row>
    <row r="75" spans="1:6" x14ac:dyDescent="0.4">
      <c r="A75" s="33" t="str">
        <f>IF(Input!A55="","",Input!A55)</f>
        <v>Cliente G</v>
      </c>
      <c r="B75" s="32"/>
      <c r="C75" s="34" t="s">
        <v>162</v>
      </c>
      <c r="D75" s="35">
        <f>IF(AND(N(Input!C55)=0,N(Input!D55)&gt;0),Input!D55,0)</f>
        <v>0</v>
      </c>
      <c r="E75" s="35">
        <f>IF(AND(N(Input!D55)=0,N(Input!E55)&gt;0),Input!E55,0)</f>
        <v>0</v>
      </c>
      <c r="F75" s="32"/>
    </row>
    <row r="76" spans="1:6" x14ac:dyDescent="0.4">
      <c r="A76" s="33" t="str">
        <f>IF(Input!A56="","",Input!A56)</f>
        <v>Cliente H</v>
      </c>
      <c r="B76" s="32"/>
      <c r="C76" s="34" t="s">
        <v>162</v>
      </c>
      <c r="D76" s="35">
        <f>IF(AND(N(Input!C56)=0,N(Input!D56)&gt;0),Input!D56,0)</f>
        <v>0</v>
      </c>
      <c r="E76" s="35">
        <f>IF(AND(N(Input!D56)=0,N(Input!E56)&gt;0),Input!E56,0)</f>
        <v>0</v>
      </c>
      <c r="F76" s="32"/>
    </row>
    <row r="77" spans="1:6" x14ac:dyDescent="0.4">
      <c r="A77" s="33" t="str">
        <f>IF(Input!A57="","",Input!A57)</f>
        <v>Cliente I</v>
      </c>
      <c r="B77" s="32"/>
      <c r="C77" s="34" t="s">
        <v>162</v>
      </c>
      <c r="D77" s="35">
        <f>IF(AND(N(Input!C57)=0,N(Input!D57)&gt;0),Input!D57,0)</f>
        <v>0</v>
      </c>
      <c r="E77" s="35">
        <f>IF(AND(N(Input!D57)=0,N(Input!E57)&gt;0),Input!E57,0)</f>
        <v>0</v>
      </c>
      <c r="F77" s="32"/>
    </row>
    <row r="78" spans="1:6" x14ac:dyDescent="0.4">
      <c r="A78" s="33" t="str">
        <f>IF(Input!A58="","",Input!A58)</f>
        <v>Cliente J</v>
      </c>
      <c r="B78" s="32"/>
      <c r="C78" s="34" t="s">
        <v>162</v>
      </c>
      <c r="D78" s="35">
        <f>IF(AND(N(Input!C58)=0,N(Input!D58)&gt;0),Input!D58,0)</f>
        <v>230</v>
      </c>
      <c r="E78" s="35">
        <f>IF(AND(N(Input!D58)=0,N(Input!E58)&gt;0),Input!E58,0)</f>
        <v>0</v>
      </c>
      <c r="F78" s="32"/>
    </row>
    <row r="79" spans="1:6" x14ac:dyDescent="0.4">
      <c r="A79" s="33" t="str">
        <f>IF(Input!A59="","",Input!A59)</f>
        <v/>
      </c>
      <c r="B79" s="32"/>
      <c r="C79" s="34" t="s">
        <v>162</v>
      </c>
      <c r="D79" s="35">
        <f>IF(AND(N(Input!C59)=0,N(Input!D59)&gt;0),Input!D59,0)</f>
        <v>0</v>
      </c>
      <c r="E79" s="35">
        <f>IF(AND(N(Input!D59)=0,N(Input!E59)&gt;0),Input!E59,0)</f>
        <v>0</v>
      </c>
      <c r="F79" s="32"/>
    </row>
    <row r="80" spans="1:6" x14ac:dyDescent="0.4">
      <c r="A80" s="33" t="str">
        <f>IF(Input!A60="","",Input!A60)</f>
        <v/>
      </c>
      <c r="B80" s="32"/>
      <c r="C80" s="34" t="s">
        <v>162</v>
      </c>
      <c r="D80" s="35">
        <f>IF(AND(N(Input!C60)=0,N(Input!D60)&gt;0),Input!D60,0)</f>
        <v>0</v>
      </c>
      <c r="E80" s="35">
        <f>IF(AND(N(Input!D60)=0,N(Input!E60)&gt;0),Input!E60,0)</f>
        <v>0</v>
      </c>
      <c r="F80" s="32"/>
    </row>
    <row r="81" spans="1:6" x14ac:dyDescent="0.4">
      <c r="A81" s="32"/>
      <c r="B81" s="32"/>
      <c r="C81" s="32"/>
      <c r="D81" s="32"/>
      <c r="E81" s="32"/>
      <c r="F81" s="32"/>
    </row>
    <row r="82" spans="1:6" x14ac:dyDescent="0.4">
      <c r="A82" s="12" t="s">
        <v>274</v>
      </c>
      <c r="B82" s="23"/>
      <c r="C82" s="23"/>
      <c r="D82" s="23"/>
      <c r="E82" s="23"/>
      <c r="F82" s="23"/>
    </row>
    <row r="83" spans="1:6" x14ac:dyDescent="0.4">
      <c r="A83" s="33" t="str">
        <f>IF(Input!A64="","",Input!A64)</f>
        <v>Custos legais de um litígio encerrado</v>
      </c>
      <c r="B83" s="32"/>
      <c r="C83" s="32"/>
      <c r="D83" s="32"/>
      <c r="E83" s="32">
        <f>IF(AND(N(Input!C64)&lt;&gt;0,N(Input!D64)&lt;&gt;0,N(Input!E64)&lt;&gt;0),1,0)</f>
        <v>0</v>
      </c>
      <c r="F83" s="32"/>
    </row>
    <row r="84" spans="1:6" x14ac:dyDescent="0.4">
      <c r="A84" s="33" t="str">
        <f>IF(Input!A65="","",Input!A65)</f>
        <v>Certificação ISO 9001 (projeto único)</v>
      </c>
      <c r="B84" s="32"/>
      <c r="C84" s="32"/>
      <c r="D84" s="32"/>
      <c r="E84" s="32">
        <f>IF(AND(N(Input!C65)&lt;&gt;0,N(Input!D65)&lt;&gt;0,N(Input!E65)&lt;&gt;0),1,0)</f>
        <v>0</v>
      </c>
      <c r="F84" s="32"/>
    </row>
    <row r="85" spans="1:6" x14ac:dyDescent="0.4">
      <c r="A85" s="33" t="str">
        <f>IF(Input!A66="","",Input!A66)</f>
        <v>Migração do sistema informático (ERP)</v>
      </c>
      <c r="B85" s="32"/>
      <c r="C85" s="32"/>
      <c r="D85" s="32"/>
      <c r="E85" s="32">
        <f>IF(AND(N(Input!C66)&lt;&gt;0,N(Input!D66)&lt;&gt;0,N(Input!E66)&lt;&gt;0),1,0)</f>
        <v>0</v>
      </c>
      <c r="F85" s="32"/>
    </row>
    <row r="86" spans="1:6" x14ac:dyDescent="0.4">
      <c r="A86" s="33" t="str">
        <f>IF(Input!A67="","",Input!A67)</f>
        <v/>
      </c>
      <c r="B86" s="32"/>
      <c r="C86" s="32"/>
      <c r="D86" s="32"/>
      <c r="E86" s="32">
        <f>IF(AND(N(Input!C67)&lt;&gt;0,N(Input!D67)&lt;&gt;0,N(Input!E67)&lt;&gt;0),1,0)</f>
        <v>0</v>
      </c>
      <c r="F86" s="32"/>
    </row>
    <row r="87" spans="1:6" x14ac:dyDescent="0.4">
      <c r="A87" s="33" t="str">
        <f>IF(Input!A68="","",Input!A68)</f>
        <v/>
      </c>
      <c r="B87" s="32"/>
      <c r="C87" s="32"/>
      <c r="D87" s="32"/>
      <c r="E87" s="32">
        <f>IF(AND(N(Input!C68)&lt;&gt;0,N(Input!D68)&lt;&gt;0,N(Input!E68)&lt;&gt;0),1,0)</f>
        <v>0</v>
      </c>
      <c r="F87" s="32"/>
    </row>
    <row r="88" spans="1:6" x14ac:dyDescent="0.4">
      <c r="A88" s="32"/>
      <c r="B88" s="32"/>
      <c r="C88" s="32"/>
      <c r="D88" s="32"/>
      <c r="E88" s="32"/>
      <c r="F88" s="3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4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9140625" defaultRowHeight="14.6" x14ac:dyDescent="0.4"/>
  <cols>
    <col min="1" max="1" width="6" customWidth="1"/>
    <col min="2" max="2" width="16" customWidth="1"/>
    <col min="3" max="4" width="30" customWidth="1"/>
    <col min="5" max="5" width="15" customWidth="1"/>
    <col min="6" max="6" width="9" customWidth="1"/>
    <col min="7" max="9" width="10" customWidth="1"/>
    <col min="10" max="12" width="9" customWidth="1"/>
    <col min="13" max="13" width="8" customWidth="1"/>
    <col min="14" max="14" width="11" customWidth="1"/>
    <col min="15" max="15" width="10" customWidth="1"/>
    <col min="16" max="16" width="7" customWidth="1"/>
    <col min="17" max="17" width="60" customWidth="1"/>
    <col min="18" max="18" width="34" customWidth="1"/>
    <col min="19" max="19" width="44" customWidth="1"/>
    <col min="20" max="20" width="34" customWidth="1"/>
    <col min="21" max="22" width="40" customWidth="1"/>
  </cols>
  <sheetData>
    <row r="1" spans="1:22" ht="17.600000000000001" x14ac:dyDescent="0.4">
      <c r="A1" s="1" t="s">
        <v>275</v>
      </c>
    </row>
    <row r="2" spans="1:22" x14ac:dyDescent="0.4">
      <c r="A2" s="2" t="s">
        <v>276</v>
      </c>
    </row>
    <row r="4" spans="1:22" ht="30" customHeight="1" x14ac:dyDescent="0.4">
      <c r="A4" s="7" t="s">
        <v>277</v>
      </c>
      <c r="B4" s="8" t="s">
        <v>18</v>
      </c>
      <c r="C4" s="8" t="s">
        <v>17</v>
      </c>
      <c r="D4" s="8" t="s">
        <v>278</v>
      </c>
      <c r="E4" s="8" t="s">
        <v>279</v>
      </c>
      <c r="F4" s="8" t="s">
        <v>280</v>
      </c>
      <c r="G4" s="8" t="s">
        <v>281</v>
      </c>
      <c r="H4" s="8" t="s">
        <v>282</v>
      </c>
      <c r="I4" s="8" t="s">
        <v>283</v>
      </c>
      <c r="J4" s="8" t="s">
        <v>284</v>
      </c>
      <c r="K4" s="8" t="s">
        <v>285</v>
      </c>
      <c r="L4" s="8" t="s">
        <v>286</v>
      </c>
      <c r="M4" s="8" t="s">
        <v>287</v>
      </c>
      <c r="N4" s="8" t="s">
        <v>19</v>
      </c>
      <c r="O4" s="8" t="s">
        <v>23</v>
      </c>
      <c r="P4" s="8" t="s">
        <v>288</v>
      </c>
      <c r="Q4" s="8" t="s">
        <v>289</v>
      </c>
      <c r="R4" s="8" t="s">
        <v>22</v>
      </c>
      <c r="S4" s="8" t="s">
        <v>290</v>
      </c>
      <c r="T4" s="8" t="s">
        <v>25</v>
      </c>
      <c r="U4" s="8" t="s">
        <v>291</v>
      </c>
      <c r="V4" s="8" t="s">
        <v>292</v>
      </c>
    </row>
    <row r="5" spans="1:22" ht="40.5" customHeight="1" x14ac:dyDescent="0.4">
      <c r="A5" s="10" t="s">
        <v>293</v>
      </c>
      <c r="B5" s="10" t="s">
        <v>158</v>
      </c>
      <c r="C5" s="10" t="s">
        <v>294</v>
      </c>
      <c r="D5" s="10" t="s">
        <v>173</v>
      </c>
      <c r="E5" s="10" t="s">
        <v>295</v>
      </c>
      <c r="F5" s="36">
        <v>0.2</v>
      </c>
      <c r="G5" s="37">
        <f>Métricas!C12</f>
        <v>0.15460526315789475</v>
      </c>
      <c r="H5" s="37">
        <f>Métricas!D12</f>
        <v>0.15597484276729559</v>
      </c>
      <c r="I5" s="37">
        <f>Métricas!E12</f>
        <v>0.15688622754491019</v>
      </c>
      <c r="J5" s="9" t="str">
        <f t="shared" ref="J5:L6" si="0">IF(ISNUMBER(G5),IF(G5&gt;$F5,"Sim","Não"),"n.d.")</f>
        <v>Não</v>
      </c>
      <c r="K5" s="9" t="str">
        <f t="shared" si="0"/>
        <v>Não</v>
      </c>
      <c r="L5" s="9" t="str">
        <f t="shared" si="0"/>
        <v>Não</v>
      </c>
      <c r="M5" s="10" t="str">
        <f t="shared" ref="M5:M24" si="1">IF(COUNTIF(J5:L5,"Sim")&gt;0,"Sim","Não")</f>
        <v>Não</v>
      </c>
      <c r="N5" s="10" t="str">
        <f t="shared" ref="N5:N24" si="2">MID(IF(J5="Sim",", 2023","")&amp;IF(K5="Sim",", 2024","")&amp;IF(L5="Sim",", 2025",""),3,20)</f>
        <v/>
      </c>
      <c r="O5" s="11" t="s">
        <v>296</v>
      </c>
      <c r="P5" s="10" t="str">
        <f>IF(M5="Sim",COUNTIF(M$5:M5,"Sim"),"")</f>
        <v/>
      </c>
      <c r="Q5" s="10" t="str">
        <f>IFERROR("Maior cliente em % das vendas — "&amp;"2023: "&amp;ROUND(Métricas!C12*100,1)&amp;"%"&amp;"; 2024: "&amp;ROUND(Métricas!D12*100,1)&amp;"%"&amp;"; 2025: "&amp;ROUND(Métricas!E12*100,1)&amp;"%"&amp;" ("&amp;Métricas!E13&amp;" em 2025). Fonte: "&amp;Input!$F$6&amp;"; "&amp;Input!$F$49&amp;" e seguintes","Ver folha Métricas")</f>
        <v>Maior cliente em % das vendas — 2023: 15,5%; 2024: 15,6%; 2025: 15,7% (Cliente A em 2025). Fonte: DRE!B5:D5; Vendas por Cliente!C5:G5 e seguintes</v>
      </c>
      <c r="R5" s="10" t="s">
        <v>297</v>
      </c>
      <c r="S5" s="10" t="s">
        <v>298</v>
      </c>
      <c r="T5" s="10" t="s">
        <v>299</v>
      </c>
      <c r="U5" s="10" t="s">
        <v>300</v>
      </c>
      <c r="V5" s="10" t="str">
        <f>"R01"&amp;" · "&amp;C5&amp;" (limite: "&amp;ROUND(F5*100,0)&amp;"%"&amp;")"</f>
        <v>R01 · Maior cliente acima do limite (limite: 20%)</v>
      </c>
    </row>
    <row r="6" spans="1:22" ht="40.5" customHeight="1" x14ac:dyDescent="0.4">
      <c r="A6" s="10" t="s">
        <v>301</v>
      </c>
      <c r="B6" s="10" t="s">
        <v>158</v>
      </c>
      <c r="C6" s="10" t="s">
        <v>302</v>
      </c>
      <c r="D6" s="10" t="s">
        <v>303</v>
      </c>
      <c r="E6" s="10" t="s">
        <v>295</v>
      </c>
      <c r="F6" s="36">
        <v>0.05</v>
      </c>
      <c r="G6" s="37" t="str">
        <f>Métricas!C9</f>
        <v>n.d.</v>
      </c>
      <c r="H6" s="37">
        <f>Métricas!D9</f>
        <v>1.4465408805031447E-2</v>
      </c>
      <c r="I6" s="37">
        <f>Métricas!E9</f>
        <v>0</v>
      </c>
      <c r="J6" s="9" t="str">
        <f t="shared" si="0"/>
        <v>n.d.</v>
      </c>
      <c r="K6" s="9" t="str">
        <f t="shared" si="0"/>
        <v>Não</v>
      </c>
      <c r="L6" s="9" t="str">
        <f t="shared" si="0"/>
        <v>Não</v>
      </c>
      <c r="M6" s="10" t="str">
        <f t="shared" si="1"/>
        <v>Não</v>
      </c>
      <c r="N6" s="10" t="str">
        <f t="shared" si="2"/>
        <v/>
      </c>
      <c r="O6" s="11" t="s">
        <v>296</v>
      </c>
      <c r="P6" s="10" t="str">
        <f>IF(M6="Sim",COUNTIF(M$5:M6,"Sim"),"")</f>
        <v/>
      </c>
      <c r="Q6" s="10" t="str">
        <f>IFERROR("Clientes novos em 2025: "&amp;ROUND(Métricas!E9*100,1)&amp;"%"&amp;" das vendas ("&amp;Métricas!E10&amp;", "&amp;ROUND(Métricas!E8,0)&amp;"). Vendas: +"&amp;ROUND(Métricas!E7*100,1)&amp;"%"&amp;"; sem clientes novos: "&amp;ROUND(Métricas!E11*100,1)&amp;"%"&amp;". Fonte: "&amp;Input!$F$49&amp;" e seguintes","Ver folha Métricas")</f>
        <v>Clientes novos em 2025: 0% das vendas (—, 0). Vendas: +5%; sem clientes novos: 5%. Fonte: Vendas por Cliente!C5:G5 e seguintes</v>
      </c>
      <c r="R6" s="10" t="s">
        <v>304</v>
      </c>
      <c r="S6" s="10" t="s">
        <v>305</v>
      </c>
      <c r="T6" s="10" t="s">
        <v>306</v>
      </c>
      <c r="U6" s="10" t="s">
        <v>307</v>
      </c>
      <c r="V6" s="10" t="str">
        <f>"R02"&amp;" · "&amp;C6&amp;" (limite: "&amp;ROUND(F6*100,0)&amp;"%"&amp;")"</f>
        <v>R02 · Cliente novo com peso relevante nas vendas (limite: 5%)</v>
      </c>
    </row>
    <row r="7" spans="1:22" ht="40.5" customHeight="1" x14ac:dyDescent="0.4">
      <c r="A7" s="10" t="s">
        <v>308</v>
      </c>
      <c r="B7" s="10" t="s">
        <v>309</v>
      </c>
      <c r="C7" s="10" t="s">
        <v>310</v>
      </c>
      <c r="D7" s="10" t="s">
        <v>311</v>
      </c>
      <c r="E7" s="10" t="s">
        <v>312</v>
      </c>
      <c r="F7" s="38">
        <v>3</v>
      </c>
      <c r="G7" s="39" t="str">
        <f>Métricas!C18</f>
        <v>n.d.</v>
      </c>
      <c r="H7" s="39">
        <f>Métricas!D18</f>
        <v>0.3962264150943362</v>
      </c>
      <c r="I7" s="39">
        <f>Métricas!E18</f>
        <v>-0.49802282227996986</v>
      </c>
      <c r="J7" s="9" t="str">
        <f>IF(ISNUMBER(G7),IF(ABS(G7)&gt;$F7,"Sim","Não"),"n.d.")</f>
        <v>n.d.</v>
      </c>
      <c r="K7" s="9" t="str">
        <f>IF(ISNUMBER(H7),IF(ABS(H7)&gt;$F7,"Sim","Não"),"n.d.")</f>
        <v>Não</v>
      </c>
      <c r="L7" s="9" t="str">
        <f>IF(ISNUMBER(I7),IF(ABS(I7)&gt;$F7,"Sim","Não"),"n.d.")</f>
        <v>Não</v>
      </c>
      <c r="M7" s="10" t="str">
        <f t="shared" si="1"/>
        <v>Não</v>
      </c>
      <c r="N7" s="10" t="str">
        <f t="shared" si="2"/>
        <v/>
      </c>
      <c r="O7" s="11" t="s">
        <v>296</v>
      </c>
      <c r="P7" s="10" t="str">
        <f>IF(M7="Sim",COUNTIF(M$5:M7,"Sim"),"")</f>
        <v/>
      </c>
      <c r="Q7" s="10" t="str">
        <f>IFERROR("Margem bruta — "&amp;"2023: "&amp;ROUND(Métricas!C17*100,1)&amp;"%"&amp;"; 2024: "&amp;ROUND(Métricas!D17*100,1)&amp;"%"&amp;"; 2025: "&amp;ROUND(Métricas!E17*100,1)&amp;"%"&amp;" (variação em 2025: "&amp;ROUND(Métricas!E18,1)&amp;" p.p.). Fonte: "&amp;Input!$F$6&amp;"; "&amp;Input!$F$7,"Ver folha Métricas")</f>
        <v>Margem bruta — 2023: 28%; 2024: 28,4%; 2025: 27,9% (variação em 2025: -0,5 p.p.). Fonte: DRE!B5:D5; DRE!B6:D6</v>
      </c>
      <c r="R7" s="10" t="s">
        <v>313</v>
      </c>
      <c r="S7" s="10" t="s">
        <v>314</v>
      </c>
      <c r="T7" s="10" t="s">
        <v>315</v>
      </c>
      <c r="U7" s="10" t="s">
        <v>316</v>
      </c>
      <c r="V7" s="10" t="str">
        <f>"R03"&amp;" · "&amp;C7&amp;" (limite: "&amp;F7&amp;" p.p."&amp;")"</f>
        <v>R03 · Variação forte da margem bruta (limite: 3 p.p.)</v>
      </c>
    </row>
    <row r="8" spans="1:22" ht="40.5" customHeight="1" x14ac:dyDescent="0.4">
      <c r="A8" s="10" t="s">
        <v>317</v>
      </c>
      <c r="B8" s="10" t="s">
        <v>318</v>
      </c>
      <c r="C8" s="10" t="s">
        <v>319</v>
      </c>
      <c r="D8" s="10" t="s">
        <v>190</v>
      </c>
      <c r="E8" s="10" t="s">
        <v>295</v>
      </c>
      <c r="F8" s="36">
        <v>0.01</v>
      </c>
      <c r="G8" s="37">
        <f>Métricas!C21</f>
        <v>3.9473684210526317E-3</v>
      </c>
      <c r="H8" s="37">
        <f>Métricas!D21</f>
        <v>3.459119496855346E-3</v>
      </c>
      <c r="I8" s="37">
        <f>Métricas!E21</f>
        <v>3.8922155688622755E-3</v>
      </c>
      <c r="J8" s="9" t="str">
        <f t="shared" ref="J8:L13" si="3">IF(ISNUMBER(G8),IF(G8&gt;$F8,"Sim","Não"),"n.d.")</f>
        <v>Não</v>
      </c>
      <c r="K8" s="9" t="str">
        <f t="shared" si="3"/>
        <v>Não</v>
      </c>
      <c r="L8" s="9" t="str">
        <f t="shared" si="3"/>
        <v>Não</v>
      </c>
      <c r="M8" s="10" t="str">
        <f t="shared" si="1"/>
        <v>Não</v>
      </c>
      <c r="N8" s="10" t="str">
        <f t="shared" si="2"/>
        <v/>
      </c>
      <c r="O8" s="11" t="s">
        <v>296</v>
      </c>
      <c r="P8" s="10" t="str">
        <f>IF(M8="Sim",COUNTIF(M$5:M8,"Sim"),"")</f>
        <v/>
      </c>
      <c r="Q8" s="10" t="str">
        <f>IFERROR("Outros rendimentos — 2023: "&amp;ROUND(Input!C11,0)&amp;"; 2024: "&amp;ROUND(Input!D11,0)&amp;"; 2025: "&amp;ROUND(Input!E11,0)&amp;" ("&amp;ROUND(Métricas!E21*100,1)&amp;"%"&amp;" das vendas; variação de "&amp;ROUND(Métricas!E22*100,1)&amp;"%"&amp;"). Fonte: "&amp;Input!$F$11,"Ver folha Métricas")</f>
        <v>Outros rendimentos — 2023: 60; 2024: 55; 2025: 65 (0,4% das vendas; variação de 18,2%). Fonte: DRE!B11:D11</v>
      </c>
      <c r="R8" s="10" t="s">
        <v>320</v>
      </c>
      <c r="S8" s="10" t="s">
        <v>321</v>
      </c>
      <c r="T8" s="10" t="s">
        <v>322</v>
      </c>
      <c r="U8" s="10" t="s">
        <v>323</v>
      </c>
      <c r="V8" s="10" t="str">
        <f>"R04"&amp;" · "&amp;C8&amp;" (limite: "&amp;ROUND(F8*100,0)&amp;"%"&amp;")"</f>
        <v>R04 · Outros rendimentos relevantes dentro do EBITDA (limite: 1%)</v>
      </c>
    </row>
    <row r="9" spans="1:22" ht="40.5" customHeight="1" x14ac:dyDescent="0.4">
      <c r="A9" s="10" t="s">
        <v>324</v>
      </c>
      <c r="B9" s="10" t="s">
        <v>318</v>
      </c>
      <c r="C9" s="10" t="s">
        <v>325</v>
      </c>
      <c r="D9" s="10" t="s">
        <v>204</v>
      </c>
      <c r="E9" s="10" t="s">
        <v>295</v>
      </c>
      <c r="F9" s="36">
        <v>0.1</v>
      </c>
      <c r="G9" s="37">
        <f>Métricas!C28</f>
        <v>1.8996960486322188E-2</v>
      </c>
      <c r="H9" s="37">
        <f>Métricas!D28</f>
        <v>2.4305555555555556E-2</v>
      </c>
      <c r="I9" s="37">
        <f>Métricas!E28</f>
        <v>2.7605244996549344E-2</v>
      </c>
      <c r="J9" s="9" t="str">
        <f t="shared" si="3"/>
        <v>Não</v>
      </c>
      <c r="K9" s="9" t="str">
        <f t="shared" si="3"/>
        <v>Não</v>
      </c>
      <c r="L9" s="9" t="str">
        <f t="shared" si="3"/>
        <v>Não</v>
      </c>
      <c r="M9" s="10" t="str">
        <f t="shared" si="1"/>
        <v>Não</v>
      </c>
      <c r="N9" s="10" t="str">
        <f t="shared" si="2"/>
        <v/>
      </c>
      <c r="O9" s="11" t="s">
        <v>296</v>
      </c>
      <c r="P9" s="10" t="str">
        <f>IF(M9="Sim",COUNTIF(M$5:M9,"Sim"),"")</f>
        <v/>
      </c>
      <c r="Q9" s="10" t="str">
        <f>IFERROR("Ajustes em % do EBITDA reportado — "&amp;"2023: "&amp;ROUND(Métricas!C28*100,1)&amp;"%"&amp;"; 2024: "&amp;ROUND(Métricas!D28*100,1)&amp;"%"&amp;"; 2025: "&amp;ROUND(Métricas!E28*100,1)&amp;"%"&amp;". EBITDA 2025: reportado "&amp;ROUND(Métricas!E19,0)&amp;", ajustado pela gestão "&amp;ROUND(Métricas!E27,0)&amp;". Fonte: "&amp;Input!$F$64&amp;" e seguintes; "&amp;Input!$F$6,"Ver folha Métricas")</f>
        <v>Ajustes em % do EBITDA reportado — 2023: 1,9%; 2024: 2,4%; 2025: 2,8%. EBITDA 2025: reportado 1449, ajustado pela gestão 1489. Fonte: EBITDA Ajustado!B8:D8 e seguintes; DRE!B5:D5</v>
      </c>
      <c r="R9" s="10" t="s">
        <v>326</v>
      </c>
      <c r="S9" s="10" t="s">
        <v>327</v>
      </c>
      <c r="T9" s="10" t="s">
        <v>328</v>
      </c>
      <c r="U9" s="10" t="s">
        <v>329</v>
      </c>
      <c r="V9" s="10" t="str">
        <f>"R05"&amp;" · "&amp;C9&amp;" (limite: "&amp;ROUND(F9*100,0)&amp;"%"&amp;")"</f>
        <v>R05 · Ajustes da gestão elevados (limite: 10%)</v>
      </c>
    </row>
    <row r="10" spans="1:22" ht="40.5" customHeight="1" x14ac:dyDescent="0.4">
      <c r="A10" s="10" t="s">
        <v>330</v>
      </c>
      <c r="B10" s="10" t="s">
        <v>318</v>
      </c>
      <c r="C10" s="10" t="s">
        <v>331</v>
      </c>
      <c r="D10" s="10" t="s">
        <v>332</v>
      </c>
      <c r="E10" s="10" t="s">
        <v>295</v>
      </c>
      <c r="F10" s="40">
        <v>0</v>
      </c>
      <c r="G10" s="41" t="str">
        <f>Métricas!C29</f>
        <v>n.d.</v>
      </c>
      <c r="H10" s="41" t="str">
        <f>Métricas!D29</f>
        <v>n.d.</v>
      </c>
      <c r="I10" s="41">
        <f>Métricas!E29</f>
        <v>0</v>
      </c>
      <c r="J10" s="9" t="str">
        <f t="shared" si="3"/>
        <v>n.d.</v>
      </c>
      <c r="K10" s="9" t="str">
        <f t="shared" si="3"/>
        <v>n.d.</v>
      </c>
      <c r="L10" s="9" t="str">
        <f t="shared" si="3"/>
        <v>Não</v>
      </c>
      <c r="M10" s="10" t="str">
        <f t="shared" si="1"/>
        <v>Não</v>
      </c>
      <c r="N10" s="10" t="str">
        <f t="shared" si="2"/>
        <v/>
      </c>
      <c r="O10" s="11" t="s">
        <v>333</v>
      </c>
      <c r="P10" s="10" t="str">
        <f>IF(M10="Sim",COUNTIF(M$5:M10,"Sim"),"")</f>
        <v/>
      </c>
      <c r="Q10" s="10" t="str">
        <f>IFERROR(ROUND(Métricas!E29,0)&amp;" ajuste(s) aparece(m) em 2023, 2024 e 2025 (ex.: "&amp;Métricas!E30&amp;"). Fonte: "&amp;Input!$F$64&amp;" e seguintes","Ver folha Métricas")</f>
        <v>0 ajuste(s) aparece(m) em 2023, 2024 e 2025 (ex.: —). Fonte: EBITDA Ajustado!B8:D8 e seguintes</v>
      </c>
      <c r="R10" s="10" t="s">
        <v>334</v>
      </c>
      <c r="S10" s="10" t="s">
        <v>335</v>
      </c>
      <c r="T10" s="10" t="s">
        <v>336</v>
      </c>
      <c r="U10" s="10" t="s">
        <v>337</v>
      </c>
      <c r="V10" s="10" t="str">
        <f>"R06"&amp;" · "&amp;C10&amp;" (limite: "&amp;"mais de "&amp;F10&amp;")"</f>
        <v>R06 · Ajuste 'não recorrente' que se repete todos os anos (limite: mais de 0)</v>
      </c>
    </row>
    <row r="11" spans="1:22" ht="40.5" customHeight="1" x14ac:dyDescent="0.4">
      <c r="A11" s="10" t="s">
        <v>338</v>
      </c>
      <c r="B11" s="10" t="s">
        <v>209</v>
      </c>
      <c r="C11" s="10" t="s">
        <v>339</v>
      </c>
      <c r="D11" s="10" t="s">
        <v>340</v>
      </c>
      <c r="E11" s="10" t="s">
        <v>295</v>
      </c>
      <c r="F11" s="38">
        <v>10</v>
      </c>
      <c r="G11" s="39" t="str">
        <f>Métricas!C33</f>
        <v>n.d.</v>
      </c>
      <c r="H11" s="39">
        <f>Métricas!D33</f>
        <v>-3.5162460760740366E-2</v>
      </c>
      <c r="I11" s="39">
        <f>Métricas!E33</f>
        <v>0.15373864430467954</v>
      </c>
      <c r="J11" s="9" t="str">
        <f t="shared" si="3"/>
        <v>n.d.</v>
      </c>
      <c r="K11" s="9" t="str">
        <f t="shared" si="3"/>
        <v>Não</v>
      </c>
      <c r="L11" s="9" t="str">
        <f t="shared" si="3"/>
        <v>Não</v>
      </c>
      <c r="M11" s="10" t="str">
        <f t="shared" si="1"/>
        <v>Não</v>
      </c>
      <c r="N11" s="10" t="str">
        <f t="shared" si="2"/>
        <v/>
      </c>
      <c r="O11" s="11" t="s">
        <v>296</v>
      </c>
      <c r="P11" s="10" t="str">
        <f>IF(M11="Sim",COUNTIF(M$5:M11,"Sim"),"")</f>
        <v/>
      </c>
      <c r="Q11" s="10" t="str">
        <f>IFERROR("Clientes +"&amp;ROUND(Métricas!E32*100,1)&amp;"%"&amp;" vs. vendas +"&amp;ROUND(Métricas!E7*100,1)&amp;"%"&amp;" em 2025 (diferença de "&amp;ROUND(Métricas!E33,1)&amp;" p.p.; 2024: "&amp;ROUND(Métricas!D33,1)&amp;" p.p.). DSO: "&amp;ROUND(Métricas!D34,1)&amp;" → "&amp;ROUND(Métricas!E34,1)&amp;" dias. Fonte: "&amp;Input!$F$22&amp;"; "&amp;Input!$F$6,"Ver folha Métricas")</f>
        <v>Clientes +5,2% vs. vendas +5% em 2025 (diferença de 0,2 p.p.; 2024: 0 p.p.). DSO: 62 → 62,1 dias. Fonte: Balanço!B9:E9; DRE!B5:D5</v>
      </c>
      <c r="R11" s="10" t="s">
        <v>341</v>
      </c>
      <c r="S11" s="10" t="s">
        <v>342</v>
      </c>
      <c r="T11" s="10" t="s">
        <v>343</v>
      </c>
      <c r="U11" s="10" t="s">
        <v>344</v>
      </c>
      <c r="V11" s="10" t="str">
        <f>"R07"&amp;" · "&amp;C11&amp;" (limite: "&amp;F11&amp;" p.p."&amp;")"</f>
        <v>R07 · Contas a receber crescem acima das vendas (limite: 10 p.p.)</v>
      </c>
    </row>
    <row r="12" spans="1:22" ht="39.75" customHeight="1" x14ac:dyDescent="0.4">
      <c r="A12" s="10" t="s">
        <v>345</v>
      </c>
      <c r="B12" s="10" t="s">
        <v>209</v>
      </c>
      <c r="C12" s="10" t="s">
        <v>346</v>
      </c>
      <c r="D12" s="10" t="s">
        <v>347</v>
      </c>
      <c r="E12" s="10" t="s">
        <v>295</v>
      </c>
      <c r="F12" s="42">
        <v>15</v>
      </c>
      <c r="G12" s="43" t="str">
        <f>Métricas!C35</f>
        <v>n.d.</v>
      </c>
      <c r="H12" s="43">
        <f>Métricas!D35</f>
        <v>-2.0841608738834339E-2</v>
      </c>
      <c r="I12" s="43">
        <f>Métricas!E35</f>
        <v>9.0724211953457257E-2</v>
      </c>
      <c r="J12" s="9" t="str">
        <f t="shared" si="3"/>
        <v>n.d.</v>
      </c>
      <c r="K12" s="9" t="str">
        <f t="shared" si="3"/>
        <v>Não</v>
      </c>
      <c r="L12" s="9" t="str">
        <f t="shared" si="3"/>
        <v>Não</v>
      </c>
      <c r="M12" s="10" t="str">
        <f t="shared" si="1"/>
        <v>Não</v>
      </c>
      <c r="N12" s="10" t="str">
        <f t="shared" si="2"/>
        <v/>
      </c>
      <c r="O12" s="11" t="s">
        <v>333</v>
      </c>
      <c r="P12" s="10" t="str">
        <f>IF(M12="Sim",COUNTIF(M$5:M12,"Sim"),"")</f>
        <v/>
      </c>
      <c r="Q12" s="10" t="str">
        <f>IFERROR("DSO — "&amp;"2023: "&amp;ROUND(Métricas!C34,1)&amp;"; 2024: "&amp;ROUND(Métricas!D34,1)&amp;"; 2025: "&amp;ROUND(Métricas!E34,1)&amp;" dias. Fonte: "&amp;Input!$F$22&amp;"; "&amp;Input!$F$6,"Ver folha Métricas")</f>
        <v>DSO — 2023: 62; 2024: 62; 2025: 62,1 dias. Fonte: Balanço!B9:E9; DRE!B5:D5</v>
      </c>
      <c r="R12" s="10" t="s">
        <v>348</v>
      </c>
      <c r="S12" s="10" t="s">
        <v>349</v>
      </c>
      <c r="T12" s="10" t="s">
        <v>350</v>
      </c>
      <c r="U12" s="10" t="s">
        <v>351</v>
      </c>
      <c r="V12" s="10" t="str">
        <f>"R08"&amp;" · "&amp;C12&amp;" (limite: "&amp;F12&amp;" dias"&amp;")"</f>
        <v>R08 · Aumento forte do prazo de recebimento (limite: 15 dias)</v>
      </c>
    </row>
    <row r="13" spans="1:22" ht="40.5" customHeight="1" x14ac:dyDescent="0.4">
      <c r="A13" s="10" t="s">
        <v>352</v>
      </c>
      <c r="B13" s="10" t="s">
        <v>209</v>
      </c>
      <c r="C13" s="10" t="s">
        <v>353</v>
      </c>
      <c r="D13" s="10" t="s">
        <v>354</v>
      </c>
      <c r="E13" s="10" t="s">
        <v>295</v>
      </c>
      <c r="F13" s="38">
        <v>10</v>
      </c>
      <c r="G13" s="39" t="str">
        <f>Métricas!C38</f>
        <v>n.d.</v>
      </c>
      <c r="H13" s="39">
        <f>Métricas!D38</f>
        <v>-2.960526315789469E-2</v>
      </c>
      <c r="I13" s="39">
        <f>Métricas!E38</f>
        <v>-0.20641194554238407</v>
      </c>
      <c r="J13" s="9" t="str">
        <f t="shared" si="3"/>
        <v>n.d.</v>
      </c>
      <c r="K13" s="9" t="str">
        <f t="shared" si="3"/>
        <v>Não</v>
      </c>
      <c r="L13" s="9" t="str">
        <f t="shared" si="3"/>
        <v>Não</v>
      </c>
      <c r="M13" s="10" t="str">
        <f t="shared" si="1"/>
        <v>Não</v>
      </c>
      <c r="N13" s="10" t="str">
        <f t="shared" si="2"/>
        <v/>
      </c>
      <c r="O13" s="11" t="s">
        <v>333</v>
      </c>
      <c r="P13" s="10" t="str">
        <f>IF(M13="Sim",COUNTIF(M$5:M13,"Sim"),"")</f>
        <v/>
      </c>
      <c r="Q13" s="10" t="str">
        <f>IFERROR("Inventários +"&amp;ROUND(Métricas!E36*100,1)&amp;"%"&amp;" vs. CMV +"&amp;ROUND(Métricas!E37*100,1)&amp;"%"&amp;" em 2025 (diferença de "&amp;ROUND(Métricas!E38,1)&amp;" p.p.). DIO: "&amp;ROUND(Métricas!D39,1)&amp;" → "&amp;ROUND(Métricas!E39,1)&amp;" dias. Fonte: "&amp;Input!$F$21&amp;"; "&amp;Input!$F$7,"Ver folha Métricas")</f>
        <v>Inventários +5,6% vs. CMV +5,8% em 2025 (diferença de -0,2 p.p.). DIO: 75 → 74,9 dias. Fonte: Balanço!B8:E8; DRE!B6:D6</v>
      </c>
      <c r="R13" s="10" t="s">
        <v>355</v>
      </c>
      <c r="S13" s="10" t="s">
        <v>356</v>
      </c>
      <c r="T13" s="10" t="s">
        <v>357</v>
      </c>
      <c r="U13" s="10" t="s">
        <v>358</v>
      </c>
      <c r="V13" s="10" t="str">
        <f>"R09"&amp;" · "&amp;C13&amp;" (limite: "&amp;F13&amp;" p.p."&amp;")"</f>
        <v>R09 · Inventários crescem acima do CMV (limite: 10 p.p.)</v>
      </c>
    </row>
    <row r="14" spans="1:22" ht="40.5" customHeight="1" x14ac:dyDescent="0.4">
      <c r="A14" s="10" t="s">
        <v>359</v>
      </c>
      <c r="B14" s="10" t="s">
        <v>230</v>
      </c>
      <c r="C14" s="10" t="s">
        <v>360</v>
      </c>
      <c r="D14" s="10" t="s">
        <v>234</v>
      </c>
      <c r="E14" s="10" t="s">
        <v>361</v>
      </c>
      <c r="F14" s="36">
        <v>0.7</v>
      </c>
      <c r="G14" s="37">
        <f>Métricas!C44</f>
        <v>0.90729483282674772</v>
      </c>
      <c r="H14" s="37">
        <f>Métricas!D44</f>
        <v>0.91111111111111109</v>
      </c>
      <c r="I14" s="37">
        <f>Métricas!E44</f>
        <v>0.89302967563837132</v>
      </c>
      <c r="J14" s="9" t="str">
        <f>IF(ISNUMBER(G14),IF(G14&lt;$F14,"Sim","Não"),"n.d.")</f>
        <v>Não</v>
      </c>
      <c r="K14" s="9" t="str">
        <f>IF(ISNUMBER(H14),IF(H14&lt;$F14,"Sim","Não"),"n.d.")</f>
        <v>Não</v>
      </c>
      <c r="L14" s="9" t="str">
        <f>IF(ISNUMBER(I14),IF(I14&lt;$F14,"Sim","Não"),"n.d.")</f>
        <v>Não</v>
      </c>
      <c r="M14" s="10" t="str">
        <f t="shared" si="1"/>
        <v>Não</v>
      </c>
      <c r="N14" s="10" t="str">
        <f t="shared" si="2"/>
        <v/>
      </c>
      <c r="O14" s="11" t="s">
        <v>296</v>
      </c>
      <c r="P14" s="10" t="str">
        <f>IF(M14="Sim",COUNTIF(M$5:M14,"Sim"),"")</f>
        <v/>
      </c>
      <c r="Q14" s="10" t="str">
        <f>IFERROR("Conversão de caixa — "&amp;"2023: "&amp;ROUND(Métricas!C44*100,1)&amp;"%"&amp;"; 2024: "&amp;ROUND(Métricas!D44*100,1)&amp;"%"&amp;"; 2025: "&amp;ROUND(Métricas!E44*100,1)&amp;"%"&amp;". FCO 2025: "&amp;ROUND(Métricas!E45,0)&amp;". Fonte: "&amp;Input!$F$40&amp;"; "&amp;Input!$F$6,"Ver folha Métricas")</f>
        <v>Conversão de caixa — 2023: 90,7%; 2024: 91,1%; 2025: 89,3%. FCO 2025: 985. Fonte: DFC!B15:D15; DRE!B5:D5</v>
      </c>
      <c r="R14" s="10" t="s">
        <v>362</v>
      </c>
      <c r="S14" s="10" t="s">
        <v>363</v>
      </c>
      <c r="T14" s="10" t="s">
        <v>364</v>
      </c>
      <c r="U14" s="10" t="s">
        <v>365</v>
      </c>
      <c r="V14" s="10" t="str">
        <f>"R10"&amp;" · "&amp;C14&amp;" (limite: "&amp;ROUND(F14*100,0)&amp;"%"&amp;")"</f>
        <v>R10 · Fraca conversão do EBITDA em caixa (limite: 70%)</v>
      </c>
    </row>
    <row r="15" spans="1:22" ht="40.5" customHeight="1" x14ac:dyDescent="0.4">
      <c r="A15" s="10" t="s">
        <v>366</v>
      </c>
      <c r="B15" s="10" t="s">
        <v>241</v>
      </c>
      <c r="C15" s="10" t="s">
        <v>367</v>
      </c>
      <c r="D15" s="10" t="s">
        <v>245</v>
      </c>
      <c r="E15" s="10" t="s">
        <v>295</v>
      </c>
      <c r="F15" s="36">
        <v>0.4</v>
      </c>
      <c r="G15" s="37">
        <f>Métricas!C50</f>
        <v>0.17647058823529413</v>
      </c>
      <c r="H15" s="37">
        <f>Métricas!D50</f>
        <v>0.21428571428571427</v>
      </c>
      <c r="I15" s="37">
        <f>Métricas!E50</f>
        <v>0.27272727272727271</v>
      </c>
      <c r="J15" s="9" t="str">
        <f>IF(ISNUMBER(G15),IF(G15&gt;$F15,"Sim","Não"),"n.d.")</f>
        <v>Não</v>
      </c>
      <c r="K15" s="9" t="str">
        <f>IF(ISNUMBER(H15),IF(H15&gt;$F15,"Sim","Não"),"n.d.")</f>
        <v>Não</v>
      </c>
      <c r="L15" s="9" t="str">
        <f>IF(ISNUMBER(I15),IF(I15&gt;$F15,"Sim","Não"),"n.d.")</f>
        <v>Não</v>
      </c>
      <c r="M15" s="10" t="str">
        <f t="shared" si="1"/>
        <v>Não</v>
      </c>
      <c r="N15" s="10" t="str">
        <f t="shared" si="2"/>
        <v/>
      </c>
      <c r="O15" s="11" t="s">
        <v>296</v>
      </c>
      <c r="P15" s="10" t="str">
        <f>IF(M15="Sim",COUNTIF(M$5:M15,"Sim"),"")</f>
        <v/>
      </c>
      <c r="Q15" s="10" t="str">
        <f>IFERROR("Dívida a vencer em 12 meses — "&amp;"2023: "&amp;ROUND(Métricas!C50*100,1)&amp;"%"&amp;"; 2024: "&amp;ROUND(Métricas!D50*100,1)&amp;"%"&amp;"; 2025: "&amp;ROUND(Métricas!E50*100,1)&amp;"%"&amp;" ("&amp;ROUND(Input!E30,0)&amp;" de "&amp;ROUND(Métricas!E49,0)&amp;" em 2025). Fonte: "&amp;Input!$F$30&amp;"; "&amp;Input!$F$27,"Ver folha Métricas")</f>
        <v>Dívida a vencer em 12 meses — 2023: 17,6%; 2024: 21,4%; 2025: 27,3% (360 de 1320 em 2025). Fonte: Balanço!B23:E23; Balanço!B20:E20</v>
      </c>
      <c r="R15" s="10" t="s">
        <v>368</v>
      </c>
      <c r="S15" s="10" t="s">
        <v>369</v>
      </c>
      <c r="T15" s="10" t="s">
        <v>370</v>
      </c>
      <c r="U15" s="10" t="s">
        <v>371</v>
      </c>
      <c r="V15" s="10" t="str">
        <f>"R11"&amp;" · "&amp;C15&amp;" (limite: "&amp;ROUND(F15*100,0)&amp;"%"&amp;")"</f>
        <v>R11 · Dívida concentrada nos próximos 12 meses (limite: 40%)</v>
      </c>
    </row>
    <row r="16" spans="1:22" ht="39.75" customHeight="1" x14ac:dyDescent="0.4">
      <c r="A16" s="10" t="s">
        <v>372</v>
      </c>
      <c r="B16" s="10" t="s">
        <v>373</v>
      </c>
      <c r="C16" s="10" t="s">
        <v>374</v>
      </c>
      <c r="D16" s="10" t="s">
        <v>259</v>
      </c>
      <c r="E16" s="10" t="s">
        <v>312</v>
      </c>
      <c r="F16" s="44">
        <v>1</v>
      </c>
      <c r="G16" s="45">
        <f>Métricas!C58</f>
        <v>0</v>
      </c>
      <c r="H16" s="45">
        <f>Métricas!D58</f>
        <v>0</v>
      </c>
      <c r="I16" s="45">
        <f>Métricas!E58</f>
        <v>0</v>
      </c>
      <c r="J16" s="9" t="str">
        <f t="shared" ref="J16:L21" si="4">IF(ISNUMBER(G16),IF(ABS(G16)&gt;$F16,"Sim","Não"),"n.d.")</f>
        <v>Não</v>
      </c>
      <c r="K16" s="9" t="str">
        <f t="shared" si="4"/>
        <v>Não</v>
      </c>
      <c r="L16" s="9" t="str">
        <f t="shared" si="4"/>
        <v>Não</v>
      </c>
      <c r="M16" s="10" t="str">
        <f t="shared" si="1"/>
        <v>Não</v>
      </c>
      <c r="N16" s="10" t="str">
        <f t="shared" si="2"/>
        <v/>
      </c>
      <c r="O16" s="11" t="s">
        <v>296</v>
      </c>
      <c r="P16" s="10" t="str">
        <f>IF(M16="Sim",COUNTIF(M$5:M16,"Sim"),"")</f>
        <v/>
      </c>
      <c r="Q16" s="10" t="str">
        <f>IFERROR("Diferença no balanço — "&amp;"2023: "&amp;ROUND(Métricas!C58,0)&amp;"; 2024: "&amp;ROUND(Métricas!D58,0)&amp;"; 2025: "&amp;ROUND(Métricas!E58,0)&amp;". Fonte: Input, secção Balanço","Ver folha Métricas")</f>
        <v>Diferença no balanço — 2023: 0; 2024: 0; 2025: 0. Fonte: Input, secção Balanço</v>
      </c>
      <c r="R16" s="10" t="s">
        <v>375</v>
      </c>
      <c r="S16" s="10" t="s">
        <v>376</v>
      </c>
      <c r="T16" s="10" t="s">
        <v>377</v>
      </c>
      <c r="U16" s="10" t="s">
        <v>378</v>
      </c>
      <c r="V16" s="10" t="str">
        <f>"R12"&amp;" · "&amp;C16&amp;" (limite: "&amp;F16&amp;" mil €"&amp;")"</f>
        <v>R12 · Balanço não fecha (limite: 1 mil €)</v>
      </c>
    </row>
    <row r="17" spans="1:22" ht="39.75" customHeight="1" x14ac:dyDescent="0.4">
      <c r="A17" s="10" t="s">
        <v>379</v>
      </c>
      <c r="B17" s="10" t="s">
        <v>373</v>
      </c>
      <c r="C17" s="10" t="s">
        <v>380</v>
      </c>
      <c r="D17" s="10" t="s">
        <v>261</v>
      </c>
      <c r="E17" s="10" t="s">
        <v>312</v>
      </c>
      <c r="F17" s="44">
        <v>1</v>
      </c>
      <c r="G17" s="45">
        <f>Métricas!C59</f>
        <v>0</v>
      </c>
      <c r="H17" s="45">
        <f>Métricas!D59</f>
        <v>0</v>
      </c>
      <c r="I17" s="45">
        <f>Métricas!E59</f>
        <v>0</v>
      </c>
      <c r="J17" s="9" t="str">
        <f t="shared" si="4"/>
        <v>Não</v>
      </c>
      <c r="K17" s="9" t="str">
        <f t="shared" si="4"/>
        <v>Não</v>
      </c>
      <c r="L17" s="9" t="str">
        <f t="shared" si="4"/>
        <v>Não</v>
      </c>
      <c r="M17" s="10" t="str">
        <f t="shared" si="1"/>
        <v>Não</v>
      </c>
      <c r="N17" s="10" t="str">
        <f t="shared" si="2"/>
        <v/>
      </c>
      <c r="O17" s="11" t="s">
        <v>333</v>
      </c>
      <c r="P17" s="10" t="str">
        <f>IF(M17="Sim",COUNTIF(M$5:M17,"Sim"),"")</f>
        <v/>
      </c>
      <c r="Q17" s="10" t="str">
        <f>IFERROR("Caixa final da DFC − caixa do balanço — "&amp;"2023: "&amp;ROUND(Métricas!C59,0)&amp;"; 2024: "&amp;ROUND(Métricas!D59,0)&amp;"; 2025: "&amp;ROUND(Métricas!E59,0)&amp;". Fonte: "&amp;Input!$F$46&amp;"; "&amp;Input!$F$24,"Ver folha Métricas")</f>
        <v>Caixa final da DFC − caixa do balanço — 2023: 0; 2024: 0; 2025: 0. Fonte: DFC!B31:D31; Balanço!B11:E11</v>
      </c>
      <c r="R17" s="10" t="s">
        <v>381</v>
      </c>
      <c r="S17" s="10" t="s">
        <v>382</v>
      </c>
      <c r="T17" s="10" t="s">
        <v>383</v>
      </c>
      <c r="U17" s="10" t="s">
        <v>384</v>
      </c>
      <c r="V17" s="10" t="str">
        <f>"R13"&amp;" · "&amp;C17&amp;" (limite: "&amp;F17&amp;" mil €"&amp;")"</f>
        <v>R13 · Caixa da DFC não bate com o balanço (limite: 1 mil €)</v>
      </c>
    </row>
    <row r="18" spans="1:22" ht="39.75" customHeight="1" x14ac:dyDescent="0.4">
      <c r="A18" s="10" t="s">
        <v>385</v>
      </c>
      <c r="B18" s="10" t="s">
        <v>373</v>
      </c>
      <c r="C18" s="10" t="s">
        <v>386</v>
      </c>
      <c r="D18" s="10" t="s">
        <v>387</v>
      </c>
      <c r="E18" s="10" t="s">
        <v>312</v>
      </c>
      <c r="F18" s="44">
        <v>1</v>
      </c>
      <c r="G18" s="45">
        <f>Métricas!C60</f>
        <v>0</v>
      </c>
      <c r="H18" s="45">
        <f>Métricas!D60</f>
        <v>0</v>
      </c>
      <c r="I18" s="45">
        <f>Métricas!E60</f>
        <v>0</v>
      </c>
      <c r="J18" s="9" t="str">
        <f t="shared" si="4"/>
        <v>Não</v>
      </c>
      <c r="K18" s="9" t="str">
        <f t="shared" si="4"/>
        <v>Não</v>
      </c>
      <c r="L18" s="9" t="str">
        <f t="shared" si="4"/>
        <v>Não</v>
      </c>
      <c r="M18" s="10" t="str">
        <f t="shared" si="1"/>
        <v>Não</v>
      </c>
      <c r="N18" s="10" t="str">
        <f t="shared" si="2"/>
        <v/>
      </c>
      <c r="O18" s="11" t="s">
        <v>333</v>
      </c>
      <c r="P18" s="10" t="str">
        <f>IF(M18="Sim",COUNTIF(M$5:M18,"Sim"),"")</f>
        <v/>
      </c>
      <c r="Q18" s="10" t="str">
        <f>IFERROR("Diferença entre DFC e balanço nas variações de capital de giro — "&amp;"2023: "&amp;ROUND(Métricas!C60,0)&amp;"; 2024: "&amp;ROUND(Métricas!D60,0)&amp;"; 2025: "&amp;ROUND(Métricas!E60,0)&amp;". Fonte: "&amp;Input!$F$35&amp;" a "&amp;Input!$F$39,"Ver folha Métricas")</f>
        <v>Diferença entre DFC e balanço nas variações de capital de giro — 2023: 0; 2024: 0; 2025: 0. Fonte: DFC!B10:D10 a DFC!B14:D14</v>
      </c>
      <c r="R18" s="10" t="s">
        <v>388</v>
      </c>
      <c r="S18" s="10" t="s">
        <v>389</v>
      </c>
      <c r="T18" s="10" t="s">
        <v>390</v>
      </c>
      <c r="U18" s="10" t="s">
        <v>391</v>
      </c>
      <c r="V18" s="10" t="str">
        <f>"R14"&amp;" · "&amp;C18&amp;" (limite: "&amp;F18&amp;" mil €"&amp;")"</f>
        <v>R14 · Variações de capital de giro da DFC não batem com o balanço (limite: 1 mil €)</v>
      </c>
    </row>
    <row r="19" spans="1:22" ht="39.75" customHeight="1" x14ac:dyDescent="0.4">
      <c r="A19" s="10" t="s">
        <v>392</v>
      </c>
      <c r="B19" s="10" t="s">
        <v>373</v>
      </c>
      <c r="C19" s="10" t="s">
        <v>393</v>
      </c>
      <c r="D19" s="10" t="s">
        <v>394</v>
      </c>
      <c r="E19" s="10" t="s">
        <v>312</v>
      </c>
      <c r="F19" s="44">
        <v>1</v>
      </c>
      <c r="G19" s="45">
        <f>Métricas!C61</f>
        <v>0</v>
      </c>
      <c r="H19" s="45">
        <f>Métricas!D61</f>
        <v>0</v>
      </c>
      <c r="I19" s="45">
        <f>Métricas!E61</f>
        <v>0</v>
      </c>
      <c r="J19" s="9" t="str">
        <f t="shared" si="4"/>
        <v>Não</v>
      </c>
      <c r="K19" s="9" t="str">
        <f t="shared" si="4"/>
        <v>Não</v>
      </c>
      <c r="L19" s="9" t="str">
        <f t="shared" si="4"/>
        <v>Não</v>
      </c>
      <c r="M19" s="10" t="str">
        <f t="shared" si="1"/>
        <v>Não</v>
      </c>
      <c r="N19" s="10" t="str">
        <f t="shared" si="2"/>
        <v/>
      </c>
      <c r="O19" s="11" t="s">
        <v>296</v>
      </c>
      <c r="P19" s="10" t="str">
        <f>IF(M19="Sim",COUNTIF(M$5:M19,"Sim"),"")</f>
        <v/>
      </c>
      <c r="Q19" s="10" t="str">
        <f>IFERROR("Diferença no resultado líquido — "&amp;"2023: "&amp;ROUND(Métricas!C61,0)&amp;"; 2024: "&amp;ROUND(Métricas!D61,0)&amp;"; 2025: "&amp;ROUND(Métricas!E61,0)&amp;". Fonte: "&amp;Input!$F$16&amp;"; "&amp;Input!$F$26&amp;"; "&amp;Input!$F$34,"Ver folha Métricas")</f>
        <v>Diferença no resultado líquido — 2023: 0; 2024: 0; 2025: 0. Fonte: DRE!B19:D19; Balanço!B18:E18; DFC!B5:D5</v>
      </c>
      <c r="R19" s="10" t="s">
        <v>395</v>
      </c>
      <c r="S19" s="10" t="s">
        <v>396</v>
      </c>
      <c r="T19" s="10" t="s">
        <v>397</v>
      </c>
      <c r="U19" s="10" t="s">
        <v>398</v>
      </c>
      <c r="V19" s="10" t="str">
        <f>"R15"&amp;" · "&amp;C19&amp;" (limite: "&amp;F19&amp;" mil €"&amp;")"</f>
        <v>R15 · Resultado líquido diferente entre demonstrações (limite: 1 mil €)</v>
      </c>
    </row>
    <row r="20" spans="1:22" ht="39.75" customHeight="1" x14ac:dyDescent="0.4">
      <c r="A20" s="10" t="s">
        <v>399</v>
      </c>
      <c r="B20" s="10" t="s">
        <v>373</v>
      </c>
      <c r="C20" s="10" t="s">
        <v>400</v>
      </c>
      <c r="D20" s="10" t="s">
        <v>401</v>
      </c>
      <c r="E20" s="10" t="s">
        <v>312</v>
      </c>
      <c r="F20" s="44">
        <v>1</v>
      </c>
      <c r="G20" s="45">
        <f>Métricas!C62</f>
        <v>0</v>
      </c>
      <c r="H20" s="45">
        <f>Métricas!D62</f>
        <v>0</v>
      </c>
      <c r="I20" s="45">
        <f>Métricas!E62</f>
        <v>0</v>
      </c>
      <c r="J20" s="9" t="str">
        <f t="shared" si="4"/>
        <v>Não</v>
      </c>
      <c r="K20" s="9" t="str">
        <f t="shared" si="4"/>
        <v>Não</v>
      </c>
      <c r="L20" s="9" t="str">
        <f t="shared" si="4"/>
        <v>Não</v>
      </c>
      <c r="M20" s="10" t="str">
        <f t="shared" si="1"/>
        <v>Não</v>
      </c>
      <c r="N20" s="10" t="str">
        <f t="shared" si="2"/>
        <v/>
      </c>
      <c r="O20" s="11" t="s">
        <v>333</v>
      </c>
      <c r="P20" s="10" t="str">
        <f>IF(M20="Sim",COUNTIF(M$5:M20,"Sim"),"")</f>
        <v/>
      </c>
      <c r="Q20" s="10" t="str">
        <f>IFERROR("Vendas por cliente − vendas da DRE — "&amp;"2023: "&amp;ROUND(Métricas!C62,0)&amp;"; 2024: "&amp;ROUND(Métricas!D62,0)&amp;"; 2025: "&amp;ROUND(Métricas!E62,0)&amp;". Fonte: Input, secção Vendas por cliente","Ver folha Métricas")</f>
        <v>Vendas por cliente − vendas da DRE — 2023: 0; 2024: 0; 2025: 0. Fonte: Input, secção Vendas por cliente</v>
      </c>
      <c r="R20" s="10" t="s">
        <v>402</v>
      </c>
      <c r="S20" s="10" t="s">
        <v>403</v>
      </c>
      <c r="T20" s="10" t="s">
        <v>404</v>
      </c>
      <c r="U20" s="10" t="s">
        <v>405</v>
      </c>
      <c r="V20" s="10" t="str">
        <f>"R16"&amp;" · "&amp;C20&amp;" (limite: "&amp;F20&amp;" mil €"&amp;")"</f>
        <v>R16 · Vendas por cliente não somam as vendas da DRE (limite: 1 mil €)</v>
      </c>
    </row>
    <row r="21" spans="1:22" ht="39.75" customHeight="1" x14ac:dyDescent="0.4">
      <c r="A21" s="10" t="s">
        <v>406</v>
      </c>
      <c r="B21" s="10" t="s">
        <v>373</v>
      </c>
      <c r="C21" s="10" t="s">
        <v>407</v>
      </c>
      <c r="D21" s="10" t="s">
        <v>408</v>
      </c>
      <c r="E21" s="10" t="s">
        <v>312</v>
      </c>
      <c r="F21" s="44">
        <v>1</v>
      </c>
      <c r="G21" s="45" t="str">
        <f>Métricas!C63</f>
        <v>n.d.</v>
      </c>
      <c r="H21" s="45" t="str">
        <f>Métricas!D63</f>
        <v>n.d.</v>
      </c>
      <c r="I21" s="45">
        <f>Métricas!E63</f>
        <v>0</v>
      </c>
      <c r="J21" s="9" t="str">
        <f t="shared" si="4"/>
        <v>n.d.</v>
      </c>
      <c r="K21" s="9" t="str">
        <f t="shared" si="4"/>
        <v>n.d.</v>
      </c>
      <c r="L21" s="9" t="str">
        <f t="shared" si="4"/>
        <v>Não</v>
      </c>
      <c r="M21" s="10" t="str">
        <f t="shared" si="1"/>
        <v>Não</v>
      </c>
      <c r="N21" s="10" t="str">
        <f t="shared" si="2"/>
        <v/>
      </c>
      <c r="O21" s="11" t="s">
        <v>333</v>
      </c>
      <c r="P21" s="10" t="str">
        <f>IF(M21="Sim",COUNTIF(M$5:M21,"Sim"),"")</f>
        <v/>
      </c>
      <c r="Q21" s="10" t="str">
        <f>IFERROR("Mapa da dívida − balanço em 2025: "&amp;ROUND(Métricas!E63,0)&amp;". Fonte: "&amp;Input!$F$71&amp;"; "&amp;Input!$F$30,"Ver folha Métricas")</f>
        <v>Mapa da dívida − balanço em 2025: 0. Fonte: Dívida!D7; Balanço!B23:E23</v>
      </c>
      <c r="R21" s="10" t="s">
        <v>409</v>
      </c>
      <c r="S21" s="10" t="s">
        <v>410</v>
      </c>
      <c r="T21" s="10" t="s">
        <v>411</v>
      </c>
      <c r="U21" s="10" t="s">
        <v>412</v>
      </c>
      <c r="V21" s="10" t="str">
        <f>"R17"&amp;" · "&amp;C21&amp;" (limite: "&amp;F21&amp;" mil €"&amp;")"</f>
        <v>R17 · Mapa da dívida não bate com o balanço (limite: 1 mil €)</v>
      </c>
    </row>
    <row r="22" spans="1:22" ht="40.5" customHeight="1" x14ac:dyDescent="0.4">
      <c r="A22" s="10" t="s">
        <v>413</v>
      </c>
      <c r="B22" s="10" t="s">
        <v>268</v>
      </c>
      <c r="C22" s="10" t="s">
        <v>269</v>
      </c>
      <c r="D22" s="10" t="s">
        <v>414</v>
      </c>
      <c r="E22" s="10" t="s">
        <v>295</v>
      </c>
      <c r="F22" s="40">
        <v>0</v>
      </c>
      <c r="G22" s="41" t="str">
        <f>Métricas!C65</f>
        <v>n.d.</v>
      </c>
      <c r="H22" s="41" t="str">
        <f>Métricas!D65</f>
        <v>n.d.</v>
      </c>
      <c r="I22" s="41">
        <f>Métricas!E65</f>
        <v>0</v>
      </c>
      <c r="J22" s="9" t="str">
        <f t="shared" ref="J22:L23" si="5">IF(ISNUMBER(G22),IF(G22&gt;$F22,"Sim","Não"),"n.d.")</f>
        <v>n.d.</v>
      </c>
      <c r="K22" s="9" t="str">
        <f t="shared" si="5"/>
        <v>n.d.</v>
      </c>
      <c r="L22" s="9" t="str">
        <f t="shared" si="5"/>
        <v>Não</v>
      </c>
      <c r="M22" s="10" t="str">
        <f t="shared" si="1"/>
        <v>Não</v>
      </c>
      <c r="N22" s="10" t="str">
        <f t="shared" si="2"/>
        <v/>
      </c>
      <c r="O22" s="11" t="s">
        <v>333</v>
      </c>
      <c r="P22" s="10" t="str">
        <f>IF(M22="Sim",COUNTIF(M$5:M22,"Sim"),"")</f>
        <v/>
      </c>
      <c r="Q22" s="10" t="str">
        <f>IFERROR(ROUND(Métricas!E65,0)&amp;" documento(s) em falta: "&amp;Métricas!E66&amp;". Fonte: Input, Documentos recebidos","Ver folha Métricas")</f>
        <v>0 documento(s) em falta: —. Fonte: Input, Documentos recebidos</v>
      </c>
      <c r="R22" s="10" t="s">
        <v>415</v>
      </c>
      <c r="S22" s="10" t="s">
        <v>416</v>
      </c>
      <c r="T22" s="10" t="s">
        <v>417</v>
      </c>
      <c r="U22" s="10" t="s">
        <v>418</v>
      </c>
      <c r="V22" s="10" t="str">
        <f>"R18"&amp;" · "&amp;C22&amp;" (limite: "&amp;"mais de "&amp;F22&amp;")"</f>
        <v>R18 · Documentos obrigatórios em falta (limite: mais de 0)</v>
      </c>
    </row>
    <row r="23" spans="1:22" ht="40.5" customHeight="1" x14ac:dyDescent="0.4">
      <c r="A23" s="10" t="s">
        <v>419</v>
      </c>
      <c r="B23" s="10" t="s">
        <v>318</v>
      </c>
      <c r="C23" s="10" t="s">
        <v>420</v>
      </c>
      <c r="D23" s="10" t="s">
        <v>421</v>
      </c>
      <c r="E23" s="10" t="s">
        <v>295</v>
      </c>
      <c r="F23" s="36">
        <v>0.05</v>
      </c>
      <c r="G23" s="37">
        <f>Métricas!C24</f>
        <v>0</v>
      </c>
      <c r="H23" s="37">
        <f>Métricas!D24</f>
        <v>0</v>
      </c>
      <c r="I23" s="37">
        <f>Métricas!E24</f>
        <v>3.450655624568668E-3</v>
      </c>
      <c r="J23" s="9" t="str">
        <f t="shared" si="5"/>
        <v>Não</v>
      </c>
      <c r="K23" s="9" t="str">
        <f t="shared" si="5"/>
        <v>Não</v>
      </c>
      <c r="L23" s="9" t="str">
        <f t="shared" si="5"/>
        <v>Não</v>
      </c>
      <c r="M23" s="10" t="str">
        <f t="shared" si="1"/>
        <v>Não</v>
      </c>
      <c r="N23" s="10" t="str">
        <f t="shared" si="2"/>
        <v/>
      </c>
      <c r="O23" s="11" t="s">
        <v>296</v>
      </c>
      <c r="P23" s="10" t="str">
        <f>IF(M23="Sim",COUNTIF(M$5:M23,"Sim"),"")</f>
        <v/>
      </c>
      <c r="Q23" s="10" t="str">
        <f>IFERROR("Ganhos na alienação de ativos — 2023: "&amp;ROUND(Métricas!C23,0)&amp;"; 2024: "&amp;ROUND(Métricas!D23,0)&amp;"; 2025: "&amp;ROUND(Métricas!E23,0)&amp;" ("&amp;ROUND(Métricas!E24*100,1)&amp;"%"&amp;" do EBITDA). EBITDA de 2025 sem esses ganhos: "&amp;ROUND(Métricas!E25,0)&amp;". Fonte: "&amp;Input!$F$44&amp;"; "&amp;Input!$F$11,"Ver folha Métricas")</f>
        <v>Ganhos na alienação de ativos — 2023: 0; 2024: 0; 2025: 5 (0,3% do EBITDA). EBITDA de 2025 sem esses ganhos: 1444. Fonte: DFC!B9:D9; DRE!B11:D11</v>
      </c>
      <c r="R23" s="10" t="s">
        <v>422</v>
      </c>
      <c r="S23" s="10" t="s">
        <v>423</v>
      </c>
      <c r="T23" s="10" t="s">
        <v>424</v>
      </c>
      <c r="U23" s="10" t="s">
        <v>425</v>
      </c>
      <c r="V23" s="10" t="str">
        <f>"R19"&amp;" · "&amp;C23&amp;" (limite: "&amp;ROUND(F23*100,0)&amp;"%"&amp;")"</f>
        <v>R19 · Ganho na venda de ativos dentro do EBITDA (limite: 5%)</v>
      </c>
    </row>
    <row r="24" spans="1:22" ht="40.5" customHeight="1" x14ac:dyDescent="0.4">
      <c r="A24" s="10" t="s">
        <v>426</v>
      </c>
      <c r="B24" s="10" t="s">
        <v>241</v>
      </c>
      <c r="C24" s="10" t="s">
        <v>427</v>
      </c>
      <c r="D24" s="10" t="s">
        <v>428</v>
      </c>
      <c r="E24" s="10" t="s">
        <v>361</v>
      </c>
      <c r="F24" s="36">
        <v>0.15</v>
      </c>
      <c r="G24" s="37" t="str">
        <f>Métricas!C55</f>
        <v>n.d.</v>
      </c>
      <c r="H24" s="37" t="str">
        <f>Métricas!D55</f>
        <v>n.d.</v>
      </c>
      <c r="I24" s="37">
        <f>Métricas!E55</f>
        <v>0.82355647573038882</v>
      </c>
      <c r="J24" s="9" t="str">
        <f>IF(ISNUMBER(G24),IF(G24&lt;$F24,"Sim","Não"),"n.d.")</f>
        <v>n.d.</v>
      </c>
      <c r="K24" s="9" t="str">
        <f>IF(ISNUMBER(H24),IF(H24&lt;$F24,"Sim","Não"),"n.d.")</f>
        <v>n.d.</v>
      </c>
      <c r="L24" s="9" t="str">
        <f>IF(ISNUMBER(I24),IF(I24&lt;$F24,"Sim","Não"),"n.d.")</f>
        <v>Não</v>
      </c>
      <c r="M24" s="10" t="str">
        <f t="shared" si="1"/>
        <v>Não</v>
      </c>
      <c r="N24" s="10" t="str">
        <f t="shared" si="2"/>
        <v/>
      </c>
      <c r="O24" s="11" t="s">
        <v>296</v>
      </c>
      <c r="P24" s="10" t="str">
        <f>IF(M24="Sim",COUNTIF(M$5:M24,"Sim"),"")</f>
        <v/>
      </c>
      <c r="Q24" s="10" t="str">
        <f>IFERROR("Dívida líquida / EBITDA em 2025: "&amp;ROUND(Métricas!E52,2)&amp;"x (limite "&amp;ROUND(Métricas!E54,1)&amp;"x); folga de "&amp;ROUND(Métricas!E55*100,1)&amp;"%"&amp;". EBITDA mínimo para cumprir: "&amp;ROUND(Métricas!E56,0)&amp;". Sem ganhos na alienação, o rácio é "&amp;ROUND(Métricas!E53,2)&amp;"x. Fonte: "&amp;Input!$F$73&amp;"; "&amp;Input!$F$30,"Ver folha Métricas")</f>
        <v>Dívida líquida / EBITDA em 2025: 0,53x (limite 3x); folga de 82,4%. EBITDA mínimo para cumprir: 256. Sem ganhos na alienação, o rácio é 0,53x. Fonte: Dívida!I5 (empréstimo bancário, teste anual); Balanço!B23:E23</v>
      </c>
      <c r="R24" s="10" t="s">
        <v>429</v>
      </c>
      <c r="S24" s="10" t="s">
        <v>430</v>
      </c>
      <c r="T24" s="10" t="s">
        <v>431</v>
      </c>
      <c r="U24" s="10" t="s">
        <v>432</v>
      </c>
      <c r="V24" s="10" t="str">
        <f>"R20"&amp;" · "&amp;C24&amp;" (limite: "&amp;ROUND(F24*100,0)&amp;"%"&amp;")"</f>
        <v>R20 · Folga do covenant reduzida (limite: 15%)</v>
      </c>
    </row>
  </sheetData>
  <conditionalFormatting sqref="J5:M24">
    <cfRule type="cellIs" dxfId="0" priority="2" operator="equal">
      <formula>"Sim"</formula>
    </cfRule>
  </conditionalFormatting>
  <dataValidations count="1">
    <dataValidation type="list" sqref="O5:O24" xr:uid="{00000000-0002-0000-0400-000000000000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Leia-me</vt:lpstr>
      <vt:lpstr>Red Flags</vt:lpstr>
      <vt:lpstr>Input</vt:lpstr>
      <vt:lpstr>Métricas</vt:lpstr>
      <vt:lpstr>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Bernardo Espinola</cp:lastModifiedBy>
  <cp:revision>0</cp:revision>
  <dcterms:created xsi:type="dcterms:W3CDTF">2026-10-26T11:03:02Z</dcterms:created>
  <dcterms:modified xsi:type="dcterms:W3CDTF">2026-10-26T15:56:20Z</dcterms:modified>
  <dc:language>en-US</dc:language>
</cp:coreProperties>
</file>