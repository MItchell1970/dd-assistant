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d Flags" sheetId="2" state="visible" r:id="rId4"/>
    <sheet name="Input" sheetId="3" state="visible" r:id="rId5"/>
    <sheet name="Métricas" sheetId="4" state="visible" r:id="rId6"/>
    <sheet name="Regr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<sst xmlns="http://schemas.openxmlformats.org/spreadsheetml/2006/main" count="570" uniqueCount="445">
  <si>
    <t xml:space="preserve">Due Diligence Assistant — template de análise (módulo 1)</t>
  </si>
  <si>
    <t xml:space="preserve">Receitas, margens e geração de caixa, com regras de dívida, capital de giro e consistência. Exemplo preenchido: Duriva (empresa fictícia).</t>
  </si>
  <si>
    <t xml:space="preserve">Como funciona</t>
  </si>
  <si>
    <t xml:space="preserve">Quatro folhas em cadeia, sempre separadas: Input (dados, cada linha com a fonte) → Métricas (fórmulas) → Regras (cada métrica comparada com um limite) → Red Flags (os alertas que dispararam). Nenhum número é estimado: tudo sai de fórmulas que pode abrir e conferir.</t>
  </si>
  <si>
    <t xml:space="preserve">Para analisar outra empresa</t>
  </si>
  <si>
    <t xml:space="preserve">1) Na folha Input, substitua as células amarelas pelos dados da nova empresa e atualize a coluna Fonte. 2) Marque os documentos recebidos (Sim / Não). 3) Abra a folha Red Flags: os alertas aparecem sozinhos.</t>
  </si>
  <si>
    <t xml:space="preserve">Ajustar as regras</t>
  </si>
  <si>
    <t xml:space="preserve">Na folha Regras, altere os limites (coluna F) e a relevância (coluna O). As regras e os alertas recalculam de imediato.</t>
  </si>
  <si>
    <t xml:space="preserve">Rever os alertas</t>
  </si>
  <si>
    <t xml:space="preserve">Na folha Red Flags, marque cada alerta como Aceite, Descartado ou Pendente e escreva o porquê. O estado fica na linha: se mudar limites, confirme que os comentários continuam ao lado do alerta certo.</t>
  </si>
  <si>
    <t xml:space="preserve">O que a IA fará depois</t>
  </si>
  <si>
    <t xml:space="preserve">As regras dão a evidência e uma pergunta-modelo. No passo 3, a IA lê os alertas, explica cada um, junta os que contam a mesma história e escreve as perguntas finais e o memo de duas páginas. A IA não cria alertas nem faz contas.</t>
  </si>
  <si>
    <t xml:space="preserve">Cores</t>
  </si>
  <si>
    <t xml:space="preserve">Amarelo com texto azul: valores e escolhas que pode editar. Preto: fórmulas. Cinzento: célula sem dado para aquele ano.</t>
  </si>
  <si>
    <t xml:space="preserve">Limitações</t>
  </si>
  <si>
    <t xml:space="preserve">Os limites foram definidos para este projeto e ainda não foram testados numa empresa sem problemas: a segunda empresa fictícia, 'limpa', servirá para medir alarmes falsos.</t>
  </si>
  <si>
    <t xml:space="preserve">Red flags — módulo 1 (gerados pelas regras)</t>
  </si>
  <si>
    <t xml:space="preserve">Preenchido por fórmula. O analista revê cada alerta nas colunas amarelas: Aceite / Descartado / Pendente.</t>
  </si>
  <si>
    <t xml:space="preserve">Nº</t>
  </si>
  <si>
    <t xml:space="preserve">Regra</t>
  </si>
  <si>
    <t xml:space="preserve">Área</t>
  </si>
  <si>
    <t xml:space="preserve">Anos</t>
  </si>
  <si>
    <t xml:space="preserve">Evidência (com fonte)</t>
  </si>
  <si>
    <t xml:space="preserve">Cálculo e regra disparada</t>
  </si>
  <si>
    <t xml:space="preserve">Ponto a investigar</t>
  </si>
  <si>
    <t xml:space="preserve">Relevância</t>
  </si>
  <si>
    <t xml:space="preserve">Pergunta para a empresa</t>
  </si>
  <si>
    <t xml:space="preserve">Documento a pedir</t>
  </si>
  <si>
    <t xml:space="preserve">Estado do revisor</t>
  </si>
  <si>
    <t xml:space="preserve">Comentário do revisor</t>
  </si>
  <si>
    <t xml:space="preserve">Input — dados da empresa-alvo</t>
  </si>
  <si>
    <t xml:space="preserve">€ milhares. Preencha só as células amarelas (azul = valor copiado do data room). A coluna Fonte guarda a origem de cada linha.</t>
  </si>
  <si>
    <t xml:space="preserve">Rubrica</t>
  </si>
  <si>
    <t xml:space="preserve">2022</t>
  </si>
  <si>
    <t xml:space="preserve">2023</t>
  </si>
  <si>
    <t xml:space="preserve">2024</t>
  </si>
  <si>
    <t xml:space="preserve">2025</t>
  </si>
  <si>
    <t xml:space="preserve">Fonte no data room</t>
  </si>
  <si>
    <t xml:space="preserve">Demonstração de resultados (gastos com sinal negativo)</t>
  </si>
  <si>
    <t xml:space="preserve">Vendas e serviços prestados</t>
  </si>
  <si>
    <t xml:space="preserve">DRE!B5:D5</t>
  </si>
  <si>
    <t xml:space="preserve">Custo das mercadorias vendidas (CMV)</t>
  </si>
  <si>
    <t xml:space="preserve">DRE!B6:D6</t>
  </si>
  <si>
    <t xml:space="preserve">Fornecimentos e serviços externos</t>
  </si>
  <si>
    <t xml:space="preserve">DRE!B8:D8</t>
  </si>
  <si>
    <t xml:space="preserve">Gastos com o pessoal</t>
  </si>
  <si>
    <t xml:space="preserve">DRE!B9:D9</t>
  </si>
  <si>
    <t xml:space="preserve">Imparidade de dívidas a receber</t>
  </si>
  <si>
    <t xml:space="preserve">DRE!B10:D10</t>
  </si>
  <si>
    <t xml:space="preserve">Outros rendimentos</t>
  </si>
  <si>
    <t xml:space="preserve">DRE!B11:D11</t>
  </si>
  <si>
    <t xml:space="preserve">Outros gastos</t>
  </si>
  <si>
    <t xml:space="preserve">DRE!B12:D12</t>
  </si>
  <si>
    <t xml:space="preserve">Depreciações e amortizações</t>
  </si>
  <si>
    <t xml:space="preserve">DRE!B14:D14</t>
  </si>
  <si>
    <t xml:space="preserve">Juros e gastos similares</t>
  </si>
  <si>
    <t xml:space="preserve">DRE!B16:D16</t>
  </si>
  <si>
    <t xml:space="preserve">Imposto sobre o rendimento</t>
  </si>
  <si>
    <t xml:space="preserve">DRE!B18:D18</t>
  </si>
  <si>
    <t xml:space="preserve">Resultado líquido (DRE)</t>
  </si>
  <si>
    <t xml:space="preserve">DRE!B19:D19</t>
  </si>
  <si>
    <t xml:space="preserve">Balanço (31 de dezembro)</t>
  </si>
  <si>
    <t xml:space="preserve">Ativos fixos tangíveis</t>
  </si>
  <si>
    <t xml:space="preserve">Balanço!B6:E6</t>
  </si>
  <si>
    <t xml:space="preserve">Outros ativos não correntes</t>
  </si>
  <si>
    <t xml:space="preserve">Não existe no data room (0)</t>
  </si>
  <si>
    <t xml:space="preserve">Inventários</t>
  </si>
  <si>
    <t xml:space="preserve">Balanço!B8:E8</t>
  </si>
  <si>
    <t xml:space="preserve">Clientes</t>
  </si>
  <si>
    <t xml:space="preserve">Balanço!B9:E9</t>
  </si>
  <si>
    <t xml:space="preserve">Outros ativos correntes</t>
  </si>
  <si>
    <t xml:space="preserve">Balanço!B10:E10</t>
  </si>
  <si>
    <t xml:space="preserve">Caixa e depósitos bancários</t>
  </si>
  <si>
    <t xml:space="preserve">Balanço!B11:E11</t>
  </si>
  <si>
    <t xml:space="preserve">Total do capital próprio</t>
  </si>
  <si>
    <t xml:space="preserve">Balanço!B19:E19</t>
  </si>
  <si>
    <t xml:space="preserve">Resultado líquido (balanço)</t>
  </si>
  <si>
    <t xml:space="preserve">Balanço!B18:E18</t>
  </si>
  <si>
    <t xml:space="preserve">Financiamentos obtidos (não corrente)</t>
  </si>
  <si>
    <t xml:space="preserve">Balanço!B20:E20</t>
  </si>
  <si>
    <t xml:space="preserve">Outros passivos não correntes</t>
  </si>
  <si>
    <t xml:space="preserve">Fornecedores</t>
  </si>
  <si>
    <t xml:space="preserve">Balanço!B22:E22</t>
  </si>
  <si>
    <t xml:space="preserve">Financiamentos obtidos (corrente)</t>
  </si>
  <si>
    <t xml:space="preserve">Balanço!B23:E23</t>
  </si>
  <si>
    <t xml:space="preserve">Outros passivos correntes</t>
  </si>
  <si>
    <t xml:space="preserve">Balanço!B24:E24</t>
  </si>
  <si>
    <t xml:space="preserve">Demonstração de fluxos de caixa</t>
  </si>
  <si>
    <t xml:space="preserve">Resultado líquido (DFC)</t>
  </si>
  <si>
    <t xml:space="preserve">DFC!B5:D5</t>
  </si>
  <si>
    <t xml:space="preserve">Variação de clientes</t>
  </si>
  <si>
    <t xml:space="preserve">DFC!B10:D10</t>
  </si>
  <si>
    <t xml:space="preserve">Variação de inventários</t>
  </si>
  <si>
    <t xml:space="preserve">DFC!B11:D11</t>
  </si>
  <si>
    <t xml:space="preserve">Variação de fornecedores</t>
  </si>
  <si>
    <t xml:space="preserve">DFC!B12:D12</t>
  </si>
  <si>
    <t xml:space="preserve">Variação de outros ativos correntes</t>
  </si>
  <si>
    <t xml:space="preserve">DFC!B13:D13</t>
  </si>
  <si>
    <t xml:space="preserve">Variação de outros passivos correntes</t>
  </si>
  <si>
    <t xml:space="preserve">DFC!B14:D14</t>
  </si>
  <si>
    <t xml:space="preserve">Caixa gerada pelas operações (antes de juros e impostos)</t>
  </si>
  <si>
    <t xml:space="preserve">DFC!B15:D15</t>
  </si>
  <si>
    <t xml:space="preserve">Fluxo de caixa das atividades operacionais (FCO)</t>
  </si>
  <si>
    <t xml:space="preserve">DFC!B18:D18</t>
  </si>
  <si>
    <t xml:space="preserve">Pagamentos de ativos fixos (capex)</t>
  </si>
  <si>
    <t xml:space="preserve">DFC!B20:D20</t>
  </si>
  <si>
    <t xml:space="preserve">Recebimentos da alienação de ativos fixos</t>
  </si>
  <si>
    <t xml:space="preserve">DFC!B21:D21</t>
  </si>
  <si>
    <t xml:space="preserve">(Ganhos)/perdas na alienação de ativos fixos</t>
  </si>
  <si>
    <t xml:space="preserve">DFC!B9:D9</t>
  </si>
  <si>
    <t xml:space="preserve">Caixa no início do período</t>
  </si>
  <si>
    <t xml:space="preserve">DFC!B30:D30</t>
  </si>
  <si>
    <t xml:space="preserve">Caixa no fim do período</t>
  </si>
  <si>
    <t xml:space="preserve">DFC!B31:D31</t>
  </si>
  <si>
    <t xml:space="preserve">Vendas por cliente (até 12 clientes identificados + outros)</t>
  </si>
  <si>
    <t xml:space="preserve">Cliente A</t>
  </si>
  <si>
    <t xml:space="preserve">Vendas por Cliente!C5:G5</t>
  </si>
  <si>
    <t xml:space="preserve">Cliente B</t>
  </si>
  <si>
    <t xml:space="preserve">Vendas por Cliente!C6:G6</t>
  </si>
  <si>
    <t xml:space="preserve">Cliente C</t>
  </si>
  <si>
    <t xml:space="preserve">Vendas por Cliente!C7:G7</t>
  </si>
  <si>
    <t xml:space="preserve">Cliente D</t>
  </si>
  <si>
    <t xml:space="preserve">Vendas por Cliente!C8:G8</t>
  </si>
  <si>
    <t xml:space="preserve">Cliente E</t>
  </si>
  <si>
    <t xml:space="preserve">Vendas por Cliente!C9:G9</t>
  </si>
  <si>
    <t xml:space="preserve">Cliente F</t>
  </si>
  <si>
    <t xml:space="preserve">Vendas por Cliente!C10:G10</t>
  </si>
  <si>
    <t xml:space="preserve">Cliente G</t>
  </si>
  <si>
    <t xml:space="preserve">Vendas por Cliente!C11:G11</t>
  </si>
  <si>
    <t xml:space="preserve">Cliente H</t>
  </si>
  <si>
    <t xml:space="preserve">Vendas por Cliente!C12:G12</t>
  </si>
  <si>
    <t xml:space="preserve">Cliente I</t>
  </si>
  <si>
    <t xml:space="preserve">Vendas por Cliente!C13:G13</t>
  </si>
  <si>
    <t xml:space="preserve">Cliente K</t>
  </si>
  <si>
    <t xml:space="preserve">Vendas por Cliente!C14:G14</t>
  </si>
  <si>
    <t xml:space="preserve">(vazio)</t>
  </si>
  <si>
    <t xml:space="preserve">Outros clientes</t>
  </si>
  <si>
    <t xml:space="preserve">Vendas por Cliente!C15:G15</t>
  </si>
  <si>
    <t xml:space="preserve">Ajustes ao EBITDA apresentados pela gestão (valores somados ao EBITDA)</t>
  </si>
  <si>
    <t xml:space="preserve">Custos de reestruturação</t>
  </si>
  <si>
    <t xml:space="preserve">EBITDA Ajustado!B8:D8</t>
  </si>
  <si>
    <t xml:space="preserve">Consultoria estratégica</t>
  </si>
  <si>
    <t xml:space="preserve">EBITDA Ajustado!B9:D9</t>
  </si>
  <si>
    <t xml:space="preserve">Imparidades de clientes (não recorrentes)</t>
  </si>
  <si>
    <t xml:space="preserve">EBITDA Ajustado!B10:D10</t>
  </si>
  <si>
    <t xml:space="preserve">Custos de arranque das novas instalações</t>
  </si>
  <si>
    <t xml:space="preserve">EBITDA Ajustado!B11:D11</t>
  </si>
  <si>
    <t xml:space="preserve">Mapa da dívida (último ano)</t>
  </si>
  <si>
    <t xml:space="preserve">Total em dívida segundo o mapa</t>
  </si>
  <si>
    <t xml:space="preserve">Dívida!D9</t>
  </si>
  <si>
    <t xml:space="preserve">Parcela corrente segundo o mapa</t>
  </si>
  <si>
    <t xml:space="preserve">Dívida!E9</t>
  </si>
  <si>
    <t xml:space="preserve">Covenant: dívida líquida / EBITDA máximo</t>
  </si>
  <si>
    <t xml:space="preserve">Dívida!I6 (empréstimo B, teste anual)</t>
  </si>
  <si>
    <t xml:space="preserve">Documentos recebidos (Sim / Não na coluna B)</t>
  </si>
  <si>
    <t xml:space="preserve">Demonstração de resultados</t>
  </si>
  <si>
    <t xml:space="preserve">Sim</t>
  </si>
  <si>
    <t xml:space="preserve">Balanço</t>
  </si>
  <si>
    <t xml:space="preserve">Vendas por cliente</t>
  </si>
  <si>
    <t xml:space="preserve">Evidência dos ajustes ao EBITDA (faturas, contratos)</t>
  </si>
  <si>
    <t xml:space="preserve">Não</t>
  </si>
  <si>
    <t xml:space="preserve">Detalhe de outros rendimentos e outros gastos</t>
  </si>
  <si>
    <t xml:space="preserve">Aging de clientes</t>
  </si>
  <si>
    <t xml:space="preserve">Aging de inventários</t>
  </si>
  <si>
    <t xml:space="preserve">Mapa da dívida</t>
  </si>
  <si>
    <t xml:space="preserve">Contratos de financiamento</t>
  </si>
  <si>
    <t xml:space="preserve">Métricas — calculadas por fórmula a partir do Input</t>
  </si>
  <si>
    <t xml:space="preserve">Não editar. 'n.d.' = não disponível (falta o ano anterior ou o dado).</t>
  </si>
  <si>
    <t xml:space="preserve">Métrica</t>
  </si>
  <si>
    <t xml:space="preserve">Como se calcula</t>
  </si>
  <si>
    <t xml:space="preserve">Receitas</t>
  </si>
  <si>
    <t xml:space="preserve">Vendas</t>
  </si>
  <si>
    <t xml:space="preserve">Input</t>
  </si>
  <si>
    <t xml:space="preserve">Crescimento das vendas</t>
  </si>
  <si>
    <t xml:space="preserve">n.d.</t>
  </si>
  <si>
    <t xml:space="preserve">Vendas do ano / vendas do ano anterior − 1</t>
  </si>
  <si>
    <t xml:space="preserve">Vendas a clientes novos</t>
  </si>
  <si>
    <t xml:space="preserve">Clientes sem vendas no ano anterior</t>
  </si>
  <si>
    <t xml:space="preserve">Clientes novos (% das vendas)</t>
  </si>
  <si>
    <t xml:space="preserve">Vendas a clientes novos / vendas</t>
  </si>
  <si>
    <t xml:space="preserve">Maior cliente novo</t>
  </si>
  <si>
    <t xml:space="preserve">Nome do cliente novo com mais vendas</t>
  </si>
  <si>
    <t xml:space="preserve">Crescimento das vendas sem clientes novos</t>
  </si>
  <si>
    <t xml:space="preserve">(Vendas − vendas a clientes novos) / vendas do ano anterior − 1</t>
  </si>
  <si>
    <t xml:space="preserve">Maior cliente (% das vendas)</t>
  </si>
  <si>
    <t xml:space="preserve">Vendas do maior cliente / vendas</t>
  </si>
  <si>
    <t xml:space="preserve">Maior cliente</t>
  </si>
  <si>
    <t xml:space="preserve">Nome do cliente com mais vendas</t>
  </si>
  <si>
    <t xml:space="preserve">Vendas sem o maior cliente e sem clientes novos</t>
  </si>
  <si>
    <t xml:space="preserve">Vendas − maior cliente − clientes novos (2023: só sem o maior cliente)</t>
  </si>
  <si>
    <t xml:space="preserve">Crescimento das vendas sem o maior cliente e sem novos</t>
  </si>
  <si>
    <t xml:space="preserve">Mostra se o resto da carteira cresce</t>
  </si>
  <si>
    <t xml:space="preserve">Margens e qualidade do EBITDA</t>
  </si>
  <si>
    <t xml:space="preserve">Margem bruta</t>
  </si>
  <si>
    <t xml:space="preserve">(Vendas + CMV) / vendas</t>
  </si>
  <si>
    <t xml:space="preserve">Variação da margem bruta</t>
  </si>
  <si>
    <t xml:space="preserve">Margem do ano − margem do ano anterior, em pontos percentuais</t>
  </si>
  <si>
    <t xml:space="preserve">EBITDA reportado</t>
  </si>
  <si>
    <t xml:space="preserve">Vendas + CMV + FSE + pessoal + imparidades + outros rendimentos + outros gastos</t>
  </si>
  <si>
    <t xml:space="preserve">Margem EBITDA</t>
  </si>
  <si>
    <t xml:space="preserve">EBITDA / vendas</t>
  </si>
  <si>
    <t xml:space="preserve">Outros rendimentos (% das vendas)</t>
  </si>
  <si>
    <t xml:space="preserve">Outros rendimentos / vendas</t>
  </si>
  <si>
    <t xml:space="preserve">Variação dos outros rendimentos</t>
  </si>
  <si>
    <t xml:space="preserve">Outros rendimentos / ano anterior − 1</t>
  </si>
  <si>
    <t xml:space="preserve">Ganhos na alienação de ativos (dentro do EBITDA)</t>
  </si>
  <si>
    <t xml:space="preserve">Sinal trocado da linha da DFC. Assume que o ganho está em Outros rendimentos, como manda o SNC</t>
  </si>
  <si>
    <t xml:space="preserve">Ganhos na alienação (% do EBITDA)</t>
  </si>
  <si>
    <t xml:space="preserve">Ganhos na alienação / EBITDA reportado</t>
  </si>
  <si>
    <t xml:space="preserve">EBITDA sem ganhos na alienação</t>
  </si>
  <si>
    <t xml:space="preserve">EBITDA reportado − ganhos na alienação</t>
  </si>
  <si>
    <t xml:space="preserve">Ajustes da gestão ao EBITDA</t>
  </si>
  <si>
    <t xml:space="preserve">Soma dos ajustes no Input</t>
  </si>
  <si>
    <t xml:space="preserve">EBITDA ajustado (gestão)</t>
  </si>
  <si>
    <t xml:space="preserve">EBITDA reportado + ajustes</t>
  </si>
  <si>
    <t xml:space="preserve">Ajustes (% do EBITDA reportado)</t>
  </si>
  <si>
    <t xml:space="preserve">Ajustes / EBITDA reportado</t>
  </si>
  <si>
    <t xml:space="preserve">Ajustes 'não recorrentes' presentes nos 3 anos</t>
  </si>
  <si>
    <t xml:space="preserve">Nº de linhas de ajuste com valor em 2023, 2024 e 2025</t>
  </si>
  <si>
    <t xml:space="preserve">Exemplo de ajuste repetido</t>
  </si>
  <si>
    <t xml:space="preserve">Primeiro ajuste que se repete nos 3 anos</t>
  </si>
  <si>
    <t xml:space="preserve">Capital de giro</t>
  </si>
  <si>
    <t xml:space="preserve">Crescimento de clientes (contas a receber)</t>
  </si>
  <si>
    <t xml:space="preserve">Clientes / ano anterior − 1</t>
  </si>
  <si>
    <t xml:space="preserve">Clientes vs. vendas (diferença de crescimento)</t>
  </si>
  <si>
    <t xml:space="preserve">Crescimento de clientes − crescimento das vendas, em p.p.</t>
  </si>
  <si>
    <t xml:space="preserve">DSO (prazo médio de recebimento)</t>
  </si>
  <si>
    <t xml:space="preserve">Clientes / vendas × 365</t>
  </si>
  <si>
    <t xml:space="preserve">Variação do DSO</t>
  </si>
  <si>
    <t xml:space="preserve">DSO − DSO do ano anterior</t>
  </si>
  <si>
    <t xml:space="preserve">Crescimento dos inventários</t>
  </si>
  <si>
    <t xml:space="preserve">Inventários / ano anterior − 1</t>
  </si>
  <si>
    <t xml:space="preserve">Crescimento do CMV</t>
  </si>
  <si>
    <t xml:space="preserve">CMV / ano anterior − 1</t>
  </si>
  <si>
    <t xml:space="preserve">Inventários vs. CMV (diferença de crescimento)</t>
  </si>
  <si>
    <t xml:space="preserve">Crescimento dos inventários − crescimento do CMV, em p.p.</t>
  </si>
  <si>
    <t xml:space="preserve">DIO (dias de stock)</t>
  </si>
  <si>
    <t xml:space="preserve">Inventários / CMV × 365</t>
  </si>
  <si>
    <t xml:space="preserve">DPO (prazo médio de pagamento)</t>
  </si>
  <si>
    <t xml:space="preserve">Fornecedores / CMV × 365</t>
  </si>
  <si>
    <t xml:space="preserve">Variação do DPO</t>
  </si>
  <si>
    <t xml:space="preserve">DPO − DPO do ano anterior</t>
  </si>
  <si>
    <t xml:space="preserve">Geração de caixa</t>
  </si>
  <si>
    <t xml:space="preserve">Caixa gerada pelas operações</t>
  </si>
  <si>
    <t xml:space="preserve">Input (antes de juros e impostos)</t>
  </si>
  <si>
    <t xml:space="preserve">Conversão de caixa</t>
  </si>
  <si>
    <t xml:space="preserve">Caixa gerada pelas operações / EBITDA</t>
  </si>
  <si>
    <t xml:space="preserve">Fluxo de caixa operacional (FCO)</t>
  </si>
  <si>
    <t xml:space="preserve">Input (depois de juros e impostos)</t>
  </si>
  <si>
    <t xml:space="preserve">Free cash flow</t>
  </si>
  <si>
    <t xml:space="preserve">FCO + capex + alienações</t>
  </si>
  <si>
    <t xml:space="preserve">Capex (% das vendas)</t>
  </si>
  <si>
    <t xml:space="preserve">Capex / vendas</t>
  </si>
  <si>
    <t xml:space="preserve">Dívida</t>
  </si>
  <si>
    <t xml:space="preserve">Dívida financeira</t>
  </si>
  <si>
    <t xml:space="preserve">Financiamentos não correntes + correntes</t>
  </si>
  <si>
    <t xml:space="preserve">Dívida a vencer em 12 meses (% do total)</t>
  </si>
  <si>
    <t xml:space="preserve">Financiamentos correntes / dívida financeira</t>
  </si>
  <si>
    <t xml:space="preserve">Dívida líquida</t>
  </si>
  <si>
    <t xml:space="preserve">Dívida financeira − caixa</t>
  </si>
  <si>
    <t xml:space="preserve">Dívida líquida / EBITDA</t>
  </si>
  <si>
    <t xml:space="preserve">Dívida líquida / EBITDA reportado</t>
  </si>
  <si>
    <t xml:space="preserve">Dívida líquida / EBITDA sem ganhos na alienação</t>
  </si>
  <si>
    <t xml:space="preserve">Dívida líquida / (EBITDA − ganhos na alienação)</t>
  </si>
  <si>
    <t xml:space="preserve">Limite do covenant (dívida líquida / EBITDA)</t>
  </si>
  <si>
    <t xml:space="preserve">Input, mapa da dívida</t>
  </si>
  <si>
    <t xml:space="preserve">Folga do covenant</t>
  </si>
  <si>
    <t xml:space="preserve">1 − rácio atual / limite. Negativo = covenant quebrado</t>
  </si>
  <si>
    <t xml:space="preserve">EBITDA mínimo para cumprir o covenant</t>
  </si>
  <si>
    <t xml:space="preserve">Dívida líquida / limite do covenant</t>
  </si>
  <si>
    <t xml:space="preserve">Consistência dos dados (0 = tudo bate)</t>
  </si>
  <si>
    <t xml:space="preserve">Ativo − (capital próprio + passivo)</t>
  </si>
  <si>
    <t xml:space="preserve">Tem de ser 0</t>
  </si>
  <si>
    <t xml:space="preserve">Caixa final da DFC − caixa do balanço</t>
  </si>
  <si>
    <t xml:space="preserve">Variações de capital de giro: DFC vs. balanço</t>
  </si>
  <si>
    <t xml:space="preserve">Soma das diferenças absolutas nas 5 linhas; tem de ser 0</t>
  </si>
  <si>
    <t xml:space="preserve">Resultado líquido: maior diferença DRE / balanço / DFC</t>
  </si>
  <si>
    <t xml:space="preserve">Vendas por cliente − vendas da DRE</t>
  </si>
  <si>
    <t xml:space="preserve">Mapa da dívida − balanço</t>
  </si>
  <si>
    <t xml:space="preserve">Total e parcela corrente; tem de ser 0</t>
  </si>
  <si>
    <t xml:space="preserve">Informação</t>
  </si>
  <si>
    <t xml:space="preserve">Documentos obrigatórios em falta</t>
  </si>
  <si>
    <t xml:space="preserve">Nº de 'Não' na lista de documentos</t>
  </si>
  <si>
    <t xml:space="preserve">Lista de documentos em falta</t>
  </si>
  <si>
    <t xml:space="preserve">Documentos marcados com 'Não'</t>
  </si>
  <si>
    <t xml:space="preserve">Auxiliar: vendas a clientes novos (cliente sem vendas no ano anterior)</t>
  </si>
  <si>
    <t xml:space="preserve">Auxiliar: ajustes presentes nos 3 anos (1 = sim)</t>
  </si>
  <si>
    <t xml:space="preserve">Catálogo de regras</t>
  </si>
  <si>
    <t xml:space="preserve">Cada regra compara uma métrica com um limite. Os limites (amarelo) são editáveis. Os alertas vão para a folha Red Flags.</t>
  </si>
  <si>
    <t xml:space="preserve">ID</t>
  </si>
  <si>
    <t xml:space="preserve">Cálculo</t>
  </si>
  <si>
    <t xml:space="preserve">Condição</t>
  </si>
  <si>
    <t xml:space="preserve">Limite</t>
  </si>
  <si>
    <t xml:space="preserve">Valor 2023</t>
  </si>
  <si>
    <t xml:space="preserve">Valor 2024</t>
  </si>
  <si>
    <t xml:space="preserve">Valor 2025</t>
  </si>
  <si>
    <t xml:space="preserve">Dispara 2023</t>
  </si>
  <si>
    <t xml:space="preserve">Dispara 2024</t>
  </si>
  <si>
    <t xml:space="preserve">Dispara 2025</t>
  </si>
  <si>
    <t xml:space="preserve">Alerta?</t>
  </si>
  <si>
    <t xml:space="preserve">Nº alerta</t>
  </si>
  <si>
    <t xml:space="preserve">Evidência (gerada por fórmula)</t>
  </si>
  <si>
    <t xml:space="preserve">Pergunta-modelo para a empresa</t>
  </si>
  <si>
    <t xml:space="preserve">Por que importa</t>
  </si>
  <si>
    <t xml:space="preserve">Regra disparada (texto)</t>
  </si>
  <si>
    <t xml:space="preserve">R01</t>
  </si>
  <si>
    <t xml:space="preserve">Maior cliente acima do limite</t>
  </si>
  <si>
    <t xml:space="preserve">acima do limite</t>
  </si>
  <si>
    <t xml:space="preserve">Alta</t>
  </si>
  <si>
    <t xml:space="preserve">Dependência de um cliente: risco de perda e de pressão sobre preços.</t>
  </si>
  <si>
    <t xml:space="preserve">Há contrato de longo prazo com este cliente? Com que prazo, preços e cláusula de mudança de controlo (change of control)?</t>
  </si>
  <si>
    <t xml:space="preserve">Contrato com o cliente; vendas e margem mensais por cliente</t>
  </si>
  <si>
    <t xml:space="preserve">Perder um cliente grande muda o valor da empresa; uma cláusula de change of control pode deixá-lo sair após a compra.</t>
  </si>
  <si>
    <t xml:space="preserve">R02</t>
  </si>
  <si>
    <t xml:space="preserve">Cliente novo com peso relevante nas vendas</t>
  </si>
  <si>
    <t xml:space="preserve">Vendas a clientes sem vendas no ano anterior / vendas</t>
  </si>
  <si>
    <t xml:space="preserve">Crescimento que pode vir de uma venda pontual e não da carteira recorrente.</t>
  </si>
  <si>
    <t xml:space="preserve">As vendas a este cliente repetem-se? Qual a natureza do contrato, o prazo e o que está previsto para o próximo ano?</t>
  </si>
  <si>
    <t xml:space="preserve">Contrato e faturas do cliente; carteira de encomendas</t>
  </si>
  <si>
    <t xml:space="preserve">O comprador paga por receita que se repete; uma venda pontual infla o crescimento e o EBITDA.</t>
  </si>
  <si>
    <t xml:space="preserve">R03</t>
  </si>
  <si>
    <t xml:space="preserve">Margens</t>
  </si>
  <si>
    <t xml:space="preserve">Variação forte da margem bruta</t>
  </si>
  <si>
    <t xml:space="preserve">Margem bruta do ano − ano anterior (p.p.)</t>
  </si>
  <si>
    <t xml:space="preserve">variação acima do limite</t>
  </si>
  <si>
    <t xml:space="preserve">O que mudou nos preços, no mix de produtos ou nos custos de compra.</t>
  </si>
  <si>
    <t xml:space="preserve">O que explica a variação da margem bruta: preços de venda, mix de produtos, custos de compra ou descontos a clientes específicos?</t>
  </si>
  <si>
    <t xml:space="preserve">Margem por cliente e por linha de produto; tabelas de preços</t>
  </si>
  <si>
    <t xml:space="preserve">Cada ponto de margem bruta muda diretamente o EBITDA; se a variação for estrutural, o EBITDA futuro muda.</t>
  </si>
  <si>
    <t xml:space="preserve">R04</t>
  </si>
  <si>
    <t xml:space="preserve">Qualidade do EBITDA</t>
  </si>
  <si>
    <t xml:space="preserve">Outros rendimentos relevantes dentro do EBITDA</t>
  </si>
  <si>
    <t xml:space="preserve">Ganhos pontuais (venda de ativos, subsídios, indemnizações) dentro do EBITDA.</t>
  </si>
  <si>
    <t xml:space="preserve">Qual o detalhe de outros rendimentos? Inclui ganhos com venda de ativos, subsídios ou outros itens que não se repetem?</t>
  </si>
  <si>
    <t xml:space="preserve">Razão (extrato) de outros rendimentos; documentos dos itens relevantes</t>
  </si>
  <si>
    <t xml:space="preserve">Um ganho que não se repete, dentro do EBITDA, aumenta o preço pago por algo que não volta a acontecer.</t>
  </si>
  <si>
    <t xml:space="preserve">R05</t>
  </si>
  <si>
    <t xml:space="preserve">Ajustes da gestão elevados</t>
  </si>
  <si>
    <t xml:space="preserve">Se os ajustes são de facto não recorrentes e têm prova.</t>
  </si>
  <si>
    <t xml:space="preserve">Que documentos sustentam cada ajuste? Por que cada custo é considerado não recorrente?</t>
  </si>
  <si>
    <t xml:space="preserve">Faturas e contratos de cada ajuste</t>
  </si>
  <si>
    <t xml:space="preserve">O EBITDA ajustado é a base do preço; cada ajuste sem prova passa valor do comprador para o vendedor.</t>
  </si>
  <si>
    <t xml:space="preserve">R06</t>
  </si>
  <si>
    <t xml:space="preserve">Ajuste 'não recorrente' que se repete todos os anos</t>
  </si>
  <si>
    <t xml:space="preserve">Nº de ajustes com valor nos 3 anos</t>
  </si>
  <si>
    <t xml:space="preserve">Média</t>
  </si>
  <si>
    <t xml:space="preserve">Custos classificados como não recorrentes que, na prática, são recorrentes.</t>
  </si>
  <si>
    <t xml:space="preserve">Por que este custo aparece todos os anos? O que garante que não se repetirá?</t>
  </si>
  <si>
    <t xml:space="preserve">Detalhe do ajuste por ano; plano e custos do programa associado</t>
  </si>
  <si>
    <t xml:space="preserve">Um custo que se repete é recorrente: não deve ser somado ao EBITDA.</t>
  </si>
  <si>
    <t xml:space="preserve">R07</t>
  </si>
  <si>
    <t xml:space="preserve">Contas a receber crescem acima das vendas</t>
  </si>
  <si>
    <t xml:space="preserve">Crescimento de clientes − crescimento das vendas (p.p.)</t>
  </si>
  <si>
    <t xml:space="preserve">Possível deterioração dos recebimentos ou alargamento de prazos.</t>
  </si>
  <si>
    <t xml:space="preserve">Como evoluíram os prazos de pagamento e os saldos vencidos? Que clientes explicam o aumento? Houve alargamento de prazos?</t>
  </si>
  <si>
    <t xml:space="preserve">Aging de clientes nos dois últimos fechos; recebimentos após o fecho</t>
  </si>
  <si>
    <t xml:space="preserve">Vendas que não se recebem não geram caixa e podem esconder perdas futuras.</t>
  </si>
  <si>
    <t xml:space="preserve">R08</t>
  </si>
  <si>
    <t xml:space="preserve">Aumento forte do prazo de recebimento</t>
  </si>
  <si>
    <t xml:space="preserve">DSO do ano − DSO do ano anterior (dias)</t>
  </si>
  <si>
    <t xml:space="preserve">Clientes a pagar mais tarde.</t>
  </si>
  <si>
    <t xml:space="preserve">Por que os clientes estão a pagar mais tarde? Houve mudança de condições de crédito?</t>
  </si>
  <si>
    <t xml:space="preserve">Aging de clientes; condições de crédito por cliente</t>
  </si>
  <si>
    <t xml:space="preserve">Prazos maiores prendem caixa e aumentam o risco de incobráveis.</t>
  </si>
  <si>
    <t xml:space="preserve">R09</t>
  </si>
  <si>
    <t xml:space="preserve">Inventários crescem acima do CMV</t>
  </si>
  <si>
    <t xml:space="preserve">Crescimento dos inventários − crescimento do CMV (p.p.)</t>
  </si>
  <si>
    <t xml:space="preserve">Stock parado ou obsoleto; compras acima das necessidades.</t>
  </si>
  <si>
    <t xml:space="preserve">Qual a composição e a antiguidade dos stocks? Que encomendas justificam o nível atual? Qual a política de imparidades?</t>
  </si>
  <si>
    <t xml:space="preserve">Aging de inventários; artigos sem movimento; carteira de encomendas</t>
  </si>
  <si>
    <t xml:space="preserve">Stock parado prende caixa e pode valer menos do que o registado.</t>
  </si>
  <si>
    <t xml:space="preserve">R10</t>
  </si>
  <si>
    <t xml:space="preserve">Fraca conversão do EBITDA em caixa</t>
  </si>
  <si>
    <t xml:space="preserve">abaixo do limite</t>
  </si>
  <si>
    <t xml:space="preserve">EBITDA que não se transforma em caixa.</t>
  </si>
  <si>
    <t xml:space="preserve">Por que o EBITDA não se converteu em caixa? Que rubricas de capital de giro explicam a diferença?</t>
  </si>
  <si>
    <t xml:space="preserve">Reconciliação entre EBITDA e caixa; mapa mensal de capital de giro</t>
  </si>
  <si>
    <t xml:space="preserve">O comprador avalia a empresa pelo caixa que ela gera.</t>
  </si>
  <si>
    <t xml:space="preserve">R11</t>
  </si>
  <si>
    <t xml:space="preserve">Dívida concentrada nos próximos 12 meses</t>
  </si>
  <si>
    <t xml:space="preserve">Necessidade de refinanciamento.</t>
  </si>
  <si>
    <t xml:space="preserve">Existem linhas contratadas ou negociações de refinanciamento em curso? Em que condições?</t>
  </si>
  <si>
    <t xml:space="preserve">Contratos de financiamento; propostas dos bancos; certificados de covenants</t>
  </si>
  <si>
    <t xml:space="preserve">Sem refinanciamento, a empresa pode não conseguir pagar a dívida que vence.</t>
  </si>
  <si>
    <t xml:space="preserve">R12</t>
  </si>
  <si>
    <t xml:space="preserve">Consistência</t>
  </si>
  <si>
    <t xml:space="preserve">Balanço não fecha</t>
  </si>
  <si>
    <t xml:space="preserve">Erro nas demonstrações financeiras.</t>
  </si>
  <si>
    <t xml:space="preserve">Qual a versão correta do balanço?</t>
  </si>
  <si>
    <t xml:space="preserve">Balancete e balanço finais</t>
  </si>
  <si>
    <t xml:space="preserve">Um balanço que não fecha invalida as análises que dependem dele.</t>
  </si>
  <si>
    <t xml:space="preserve">R13</t>
  </si>
  <si>
    <t xml:space="preserve">Caixa da DFC não bate com o balanço</t>
  </si>
  <si>
    <t xml:space="preserve">Erro na DFC ou no balanço.</t>
  </si>
  <si>
    <t xml:space="preserve">Qual é o valor correto? A DFC é a versão auditada? Há outros erros na informação?</t>
  </si>
  <si>
    <t xml:space="preserve">DFC corrigida; relatório de auditoria</t>
  </si>
  <si>
    <t xml:space="preserve">Um erro simples põe em dúvida a qualidade de toda a informação financeira.</t>
  </si>
  <si>
    <t xml:space="preserve">R14</t>
  </si>
  <si>
    <t xml:space="preserve">Variações de capital de giro da DFC não batem com o balanço</t>
  </si>
  <si>
    <t xml:space="preserve">Soma das diferenças nas 5 linhas de capital de giro</t>
  </si>
  <si>
    <t xml:space="preserve">Linha da DFC preenchida com o valor errado.</t>
  </si>
  <si>
    <t xml:space="preserve">Qual a variação correta de cada rubrica de capital de giro?</t>
  </si>
  <si>
    <t xml:space="preserve">DFC corrigida; balancetes de abertura e fecho</t>
  </si>
  <si>
    <t xml:space="preserve">Se a DFC estiver errada, a conversão de caixa também está.</t>
  </si>
  <si>
    <t xml:space="preserve">R15</t>
  </si>
  <si>
    <t xml:space="preserve">Resultado líquido diferente entre demonstrações</t>
  </si>
  <si>
    <t xml:space="preserve">Maior diferença entre DRE, balanço e DFC</t>
  </si>
  <si>
    <t xml:space="preserve">Demonstrações de versões diferentes.</t>
  </si>
  <si>
    <t xml:space="preserve">Qual é o resultado líquido correto de cada ano?</t>
  </si>
  <si>
    <t xml:space="preserve">Contas finais aprovadas</t>
  </si>
  <si>
    <t xml:space="preserve">Demonstrações que não batem podem vir de versões diferentes das contas.</t>
  </si>
  <si>
    <t xml:space="preserve">R16</t>
  </si>
  <si>
    <t xml:space="preserve">Vendas por cliente não somam as vendas da DRE</t>
  </si>
  <si>
    <t xml:space="preserve">Soma das vendas por cliente − vendas da DRE</t>
  </si>
  <si>
    <t xml:space="preserve">Listagem de clientes incompleta ou de outra base.</t>
  </si>
  <si>
    <t xml:space="preserve">Por que a listagem de vendas por cliente não bate com a DRE?</t>
  </si>
  <si>
    <t xml:space="preserve">Extração de vendas por cliente reconciliada com a contabilidade</t>
  </si>
  <si>
    <t xml:space="preserve">As análises de concentração só valem se a base bater com as contas.</t>
  </si>
  <si>
    <t xml:space="preserve">R17</t>
  </si>
  <si>
    <t xml:space="preserve">Mapa da dívida não bate com o balanço</t>
  </si>
  <si>
    <t xml:space="preserve">Diferença no total e na parcela corrente</t>
  </si>
  <si>
    <t xml:space="preserve">Dívida em falta no mapa ou no balanço.</t>
  </si>
  <si>
    <t xml:space="preserve">Que financiamentos explicam a diferença entre o mapa e o balanço?</t>
  </si>
  <si>
    <t xml:space="preserve">Mapa da dívida reconciliado; extratos bancários</t>
  </si>
  <si>
    <t xml:space="preserve">Dívida não identificada reduz diretamente o valor para o acionista.</t>
  </si>
  <si>
    <t xml:space="preserve">R18</t>
  </si>
  <si>
    <t xml:space="preserve">Nº de documentos marcados com 'Não'</t>
  </si>
  <si>
    <t xml:space="preserve">Sem estes documentos, alguns alertas não podem ser confirmados nem afastados.</t>
  </si>
  <si>
    <t xml:space="preserve">Podem enviar os documentos em falta?</t>
  </si>
  <si>
    <t xml:space="preserve">Os documentos listados na evidência</t>
  </si>
  <si>
    <t xml:space="preserve">O que falta também é um ponto de atenção: limita o que o comprador pode verificar.</t>
  </si>
  <si>
    <t xml:space="preserve">R19</t>
  </si>
  <si>
    <t xml:space="preserve">Ganho na venda de ativos dentro do EBITDA</t>
  </si>
  <si>
    <t xml:space="preserve">Ganhos na alienação de ativos / EBITDA reportado</t>
  </si>
  <si>
    <t xml:space="preserve">Ganho que não se repete a aumentar o EBITDA.</t>
  </si>
  <si>
    <t xml:space="preserve">Que ativos foram vendidos? Em que rubrica foi registado o ganho e está incluído no EBITDA apresentado?</t>
  </si>
  <si>
    <t xml:space="preserve">Contrato ou escritura de venda; registo contabilístico do ganho</t>
  </si>
  <si>
    <t xml:space="preserve">Um ganho de venda de ativos não se repete; dentro do EBITDA, o comprador pagaria por ele no múltiplo.</t>
  </si>
  <si>
    <t xml:space="preserve">R20</t>
  </si>
  <si>
    <t xml:space="preserve">Folga do covenant reduzida</t>
  </si>
  <si>
    <t xml:space="preserve">1 − (dívida líquida / EBITDA) / limite do covenant</t>
  </si>
  <si>
    <t xml:space="preserve">Risco de quebra do covenant se o EBITDA comparável for menor do que o reportado.</t>
  </si>
  <si>
    <t xml:space="preserve">Como o contrato define o EBITDA do covenant? Qual foi a folga nos últimos testes? Já houve pedidos de dispensa (waiver)?</t>
  </si>
  <si>
    <t xml:space="preserve">Contrato do empréstimo; certificados de cumprimento de covenants</t>
  </si>
  <si>
    <t xml:space="preserve">A quebra de um covenant pode tornar a dívida exigível de imediato e dá poder negocial aos bancos.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</si>
</sst>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;\(#,##0\);\-"/>
    <numFmt numFmtId="167" formatCode="0.0\x"/>
    <numFmt numFmtId="168" formatCode="0.0%;\-0.0%;\-"/>
    <numFmt numFmtId="169" formatCode="@"/>
    <numFmt numFmtId="170" formatCode="0.0&quot; p.p.&quot;;\-0.0&quot; p.p.&quot;;&quot;0,0 p.p.&quot;"/>
    <numFmt numFmtId="171" formatCode="0"/>
    <numFmt numFmtId="172" formatCode="0.0&quot; dias&quot;;\-0.0&quot; dias&quot;;&quot;0 dias&quot;"/>
    <numFmt numFmtId="173" formatCode="0.00\x"/>
    <numFmt numFmtId="174" formatCode="0%"/>
    <numFmt numFmtId="175" formatCode="0&quot; p.p.&quot;"/>
    <numFmt numFmtId="176" formatCode="0&quot; dias&quot;"/>
    <numFmt numFmtId="177" formatCode="0&quot; mil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6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7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0.5" hidden="false" customHeight="true" outlineLevel="0" collapsed="false">
      <c r="A4" s="3" t="s">
        <v>2</v>
      </c>
      <c r="B4" s="4" t="s">
        <v>3</v>
      </c>
    </row>
    <row r="5" customFormat="false" ht="27" hidden="false" customHeight="true" outlineLevel="0" collapsed="false">
      <c r="A5" s="3" t="s">
        <v>4</v>
      </c>
      <c r="B5" s="4" t="s">
        <v>5</v>
      </c>
    </row>
    <row r="6" customFormat="false" ht="27" hidden="false" customHeight="true" outlineLevel="0" collapsed="false">
      <c r="A6" s="3" t="s">
        <v>6</v>
      </c>
      <c r="B6" s="4" t="s">
        <v>7</v>
      </c>
    </row>
    <row r="7" customFormat="false" ht="27" hidden="false" customHeight="true" outlineLevel="0" collapsed="false">
      <c r="A7" s="3" t="s">
        <v>8</v>
      </c>
      <c r="B7" s="4" t="s">
        <v>9</v>
      </c>
    </row>
    <row r="8" customFormat="false" ht="40.5" hidden="false" customHeight="true" outlineLevel="0" collapsed="false">
      <c r="A8" s="3" t="s">
        <v>10</v>
      </c>
      <c r="B8" s="4" t="s">
        <v>11</v>
      </c>
    </row>
    <row r="9" customFormat="false" ht="27" hidden="false" customHeight="true" outlineLevel="0" collapsed="false">
      <c r="A9" s="3" t="s">
        <v>12</v>
      </c>
      <c r="B9" s="4" t="s">
        <v>13</v>
      </c>
    </row>
    <row r="10" customFormat="false" ht="27" hidden="false" customHeight="true" outlineLevel="0" collapsed="false">
      <c r="A10" s="3" t="s">
        <v>14</v>
      </c>
      <c r="B1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7" min="6" style="0" width="30"/>
    <col collapsed="false" customWidth="true" hidden="false" outlineLevel="0" max="8" min="8" style="0" width="10"/>
    <col collapsed="false" customWidth="true" hidden="false" outlineLevel="0" max="9" min="9" style="0" width="42"/>
    <col collapsed="false" customWidth="true" hidden="false" outlineLevel="0" max="10" min="10" style="0" width="30"/>
    <col collapsed="false" customWidth="true" hidden="false" outlineLevel="0" max="11" min="11" style="0" width="13"/>
    <col collapsed="false" customWidth="true" hidden="false" outlineLevel="0" max="12" min="12" style="0" width="26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3" customFormat="false" ht="15" hidden="false" customHeight="false" outlineLevel="0" collapsed="false">
      <c r="E3" s="5" t="str">
        <f aca="false">"Alertas: "&amp;$N$3&amp;"   ·   Alta: "&amp;COUNTIFS(Regras!M5:M24,"Sim",Regras!O5:O24,"Alta")&amp;"   ·   Média: "&amp;COUNTIFS(Regras!M5:M24,"Sim",Regras!O5:O24,"Média")&amp;"   ·   Baixa: "&amp;COUNTIFS(Regras!M5:M24,"Sim",Regras!O5:O24,"Baixa")&amp;"   ·   Por rever: "&amp;($N$3-COUNTIF(K6:K25,"Aceite")-COUNTIF(K6:K25,"Descartado"))</f>
        <v>Alertas: 15   ·   Alta: 10   ·   Média: 5   ·   Baixa: 0   ·   Por rever: 15</v>
      </c>
      <c r="N3" s="6" t="n">
        <f aca="false">COUNTIF(Regras!M5:M24,"Sim")</f>
        <v>15</v>
      </c>
    </row>
    <row r="5" customFormat="false" ht="23.85" hidden="false" customHeight="false" outlineLevel="0" collapsed="false">
      <c r="A5" s="7" t="s">
        <v>18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23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28</v>
      </c>
      <c r="L5" s="8" t="s">
        <v>29</v>
      </c>
    </row>
    <row r="6" customFormat="false" ht="79.5" hidden="false" customHeight="true" outlineLevel="0" collapsed="false">
      <c r="A6" s="9" t="n">
        <f aca="false">IF(1&lt;=$N$3,1,"")</f>
        <v>1</v>
      </c>
      <c r="B6" s="10" t="str">
        <f aca="false">IF($A6="","",INDEX(Regras!$A$5:$A$24,MATCH($A6,Regras!$P$5:$P$24,0)))</f>
        <v>R01</v>
      </c>
      <c r="C6" s="10" t="str">
        <f aca="false">IF($A6="","",INDEX(Regras!$B$5:$B$24,MATCH($A6,Regras!$P$5:$P$24,0)))</f>
        <v>Receitas</v>
      </c>
      <c r="D6" s="10" t="str">
        <f aca="false">IF($A6="","",INDEX(Regras!$N$5:$N$24,MATCH($A6,Regras!$P$5:$P$24,0)))</f>
        <v>2025</v>
      </c>
      <c r="E6" s="10" t="str">
        <f aca="false">IF($A6="","",INDEX(Regras!$Q$5:$Q$24,MATCH($A6,Regras!$P$5:$P$24,0)))</f>
        <v>Maior cliente em % das vendas — 2023: 15%; 2024: 18%; 2025: 23.8% (Cliente A em 2025). Fonte: DRE!B5:D5; Vendas por Cliente!C5:G5 e seguintes</v>
      </c>
      <c r="F6" s="10" t="str">
        <f aca="false">IF($A6="","",INDEX(Regras!$D$5:$D$24,MATCH($A6,Regras!$P$5:$P$24,0))&amp;CHAR(10)&amp;"Regra: "&amp;INDEX(Regras!$V$5:$V$24,MATCH($A6,Regras!$P$5:$P$24,0)))</f>
        <v>Vendas do maior cliente / vendas
Regra: R01 · Maior cliente acima do limite (limite: 20%)</v>
      </c>
      <c r="G6" s="10" t="str">
        <f aca="false">IF($A6="","",INDEX(Regras!$R$5:$R$24,MATCH($A6,Regras!$P$5:$P$24,0)))</f>
        <v>Dependência de um cliente: risco de perda e de pressão sobre preços.</v>
      </c>
      <c r="H6" s="11" t="str">
        <f aca="false">IF($A6="","",INDEX(Regras!$O$5:$O$24,MATCH($A6,Regras!$P$5:$P$24,0)))</f>
        <v>Alta</v>
      </c>
      <c r="I6" s="10" t="str">
        <f aca="false">IF($A6="","",INDEX(Regras!$S$5:$S$24,MATCH($A6,Regras!$P$5:$P$24,0)))</f>
        <v>Há contrato de longo prazo com este cliente? Com que prazo, preços e cláusula de mudança de controlo (change of control)?</v>
      </c>
      <c r="J6" s="10" t="str">
        <f aca="false">IF($A6="","",INDEX(Regras!$T$5:$T$24,MATCH($A6,Regras!$P$5:$P$24,0)))</f>
        <v>Contrato com o cliente; vendas e margem mensais por cliente</v>
      </c>
      <c r="K6" s="12"/>
      <c r="L6" s="12"/>
    </row>
    <row r="7" customFormat="false" ht="79.5" hidden="false" customHeight="true" outlineLevel="0" collapsed="false">
      <c r="A7" s="9" t="n">
        <f aca="false">IF(2&lt;=$N$3,2,"")</f>
        <v>2</v>
      </c>
      <c r="B7" s="10" t="str">
        <f aca="false">IF($A7="","",INDEX(Regras!$A$5:$A$24,MATCH($A7,Regras!$P$5:$P$24,0)))</f>
        <v>R02</v>
      </c>
      <c r="C7" s="10" t="str">
        <f aca="false">IF($A7="","",INDEX(Regras!$B$5:$B$24,MATCH($A7,Regras!$P$5:$P$24,0)))</f>
        <v>Receitas</v>
      </c>
      <c r="D7" s="10" t="str">
        <f aca="false">IF($A7="","",INDEX(Regras!$N$5:$N$24,MATCH($A7,Regras!$P$5:$P$24,0)))</f>
        <v>2025</v>
      </c>
      <c r="E7" s="10" t="str">
        <f aca="false">IF($A7="","",INDEX(Regras!$Q$5:$Q$24,MATCH($A7,Regras!$P$5:$P$24,0)))</f>
        <v>Clientes novos em 2025: 6.1% das vendas (Cliente K, 1300). Vendas: +9.2%; sem clientes novos: 2.6%. Fonte: Vendas por Cliente!C5:G5 e seguintes</v>
      </c>
      <c r="F7" s="10" t="str">
        <f aca="false">IF($A7="","",INDEX(Regras!$D$5:$D$24,MATCH($A7,Regras!$P$5:$P$24,0))&amp;CHAR(10)&amp;"Regra: "&amp;INDEX(Regras!$V$5:$V$24,MATCH($A7,Regras!$P$5:$P$24,0)))</f>
        <v>Vendas a clientes sem vendas no ano anterior / vendas
Regra: R02 · Cliente novo com peso relevante nas vendas (limite: 5%)</v>
      </c>
      <c r="G7" s="10" t="str">
        <f aca="false">IF($A7="","",INDEX(Regras!$R$5:$R$24,MATCH($A7,Regras!$P$5:$P$24,0)))</f>
        <v>Crescimento que pode vir de uma venda pontual e não da carteira recorrente.</v>
      </c>
      <c r="H7" s="11" t="str">
        <f aca="false">IF($A7="","",INDEX(Regras!$O$5:$O$24,MATCH($A7,Regras!$P$5:$P$24,0)))</f>
        <v>Alta</v>
      </c>
      <c r="I7" s="10" t="str">
        <f aca="false">IF($A7="","",INDEX(Regras!$S$5:$S$24,MATCH($A7,Regras!$P$5:$P$24,0)))</f>
        <v>As vendas a este cliente repetem-se? Qual a natureza do contrato, o prazo e o que está previsto para o próximo ano?</v>
      </c>
      <c r="J7" s="10" t="str">
        <f aca="false">IF($A7="","",INDEX(Regras!$T$5:$T$24,MATCH($A7,Regras!$P$5:$P$24,0)))</f>
        <v>Contrato e faturas do cliente; carteira de encomendas</v>
      </c>
      <c r="K7" s="12"/>
      <c r="L7" s="12"/>
    </row>
    <row r="8" customFormat="false" ht="79.5" hidden="false" customHeight="true" outlineLevel="0" collapsed="false">
      <c r="A8" s="9" t="n">
        <f aca="false">IF(3&lt;=$N$3,3,"")</f>
        <v>3</v>
      </c>
      <c r="B8" s="10" t="str">
        <f aca="false">IF($A8="","",INDEX(Regras!$A$5:$A$24,MATCH($A8,Regras!$P$5:$P$24,0)))</f>
        <v>R03</v>
      </c>
      <c r="C8" s="10" t="str">
        <f aca="false">IF($A8="","",INDEX(Regras!$B$5:$B$24,MATCH($A8,Regras!$P$5:$P$24,0)))</f>
        <v>Margens</v>
      </c>
      <c r="D8" s="10" t="str">
        <f aca="false">IF($A8="","",INDEX(Regras!$N$5:$N$24,MATCH($A8,Regras!$P$5:$P$24,0)))</f>
        <v>2025</v>
      </c>
      <c r="E8" s="10" t="str">
        <f aca="false">IF($A8="","",INDEX(Regras!$Q$5:$Q$24,MATCH($A8,Regras!$P$5:$P$24,0)))</f>
        <v>Margem bruta — 2023: 28.6%; 2024: 28.2%; 2025: 24.7% (variação em 2025: -3.5 p.p.). Fonte: DRE!B5:D5; DRE!B6:D6</v>
      </c>
      <c r="F8" s="10" t="str">
        <f aca="false">IF($A8="","",INDEX(Regras!$D$5:$D$24,MATCH($A8,Regras!$P$5:$P$24,0))&amp;CHAR(10)&amp;"Regra: "&amp;INDEX(Regras!$V$5:$V$24,MATCH($A8,Regras!$P$5:$P$24,0)))</f>
        <v>Margem bruta do ano − ano anterior (p.p.)
Regra: R03 · Variação forte da margem bruta (limite: 3 p.p.)</v>
      </c>
      <c r="G8" s="10" t="str">
        <f aca="false">IF($A8="","",INDEX(Regras!$R$5:$R$24,MATCH($A8,Regras!$P$5:$P$24,0)))</f>
        <v>O que mudou nos preços, no mix de produtos ou nos custos de compra.</v>
      </c>
      <c r="H8" s="11" t="str">
        <f aca="false">IF($A8="","",INDEX(Regras!$O$5:$O$24,MATCH($A8,Regras!$P$5:$P$24,0)))</f>
        <v>Alta</v>
      </c>
      <c r="I8" s="10" t="str">
        <f aca="false">IF($A8="","",INDEX(Regras!$S$5:$S$24,MATCH($A8,Regras!$P$5:$P$24,0)))</f>
        <v>O que explica a variação da margem bruta: preços de venda, mix de produtos, custos de compra ou descontos a clientes específicos?</v>
      </c>
      <c r="J8" s="10" t="str">
        <f aca="false">IF($A8="","",INDEX(Regras!$T$5:$T$24,MATCH($A8,Regras!$P$5:$P$24,0)))</f>
        <v>Margem por cliente e por linha de produto; tabelas de preços</v>
      </c>
      <c r="K8" s="12"/>
      <c r="L8" s="12"/>
    </row>
    <row r="9" customFormat="false" ht="79.5" hidden="false" customHeight="true" outlineLevel="0" collapsed="false">
      <c r="A9" s="9" t="n">
        <f aca="false">IF(4&lt;=$N$3,4,"")</f>
        <v>4</v>
      </c>
      <c r="B9" s="10" t="str">
        <f aca="false">IF($A9="","",INDEX(Regras!$A$5:$A$24,MATCH($A9,Regras!$P$5:$P$24,0)))</f>
        <v>R04</v>
      </c>
      <c r="C9" s="10" t="str">
        <f aca="false">IF($A9="","",INDEX(Regras!$B$5:$B$24,MATCH($A9,Regras!$P$5:$P$24,0)))</f>
        <v>Qualidade do EBITDA</v>
      </c>
      <c r="D9" s="10" t="str">
        <f aca="false">IF($A9="","",INDEX(Regras!$N$5:$N$24,MATCH($A9,Regras!$P$5:$P$24,0)))</f>
        <v>2025</v>
      </c>
      <c r="E9" s="10" t="str">
        <f aca="false">IF($A9="","",INDEX(Regras!$Q$5:$Q$24,MATCH($A9,Regras!$P$5:$P$24,0)))</f>
        <v>Outros rendimentos — 2023: 45; 2024: 50; 2025: 310 (1.4% das vendas; variação de 520%). Fonte: DRE!B11:D11</v>
      </c>
      <c r="F9" s="10" t="str">
        <f aca="false">IF($A9="","",INDEX(Regras!$D$5:$D$24,MATCH($A9,Regras!$P$5:$P$24,0))&amp;CHAR(10)&amp;"Regra: "&amp;INDEX(Regras!$V$5:$V$24,MATCH($A9,Regras!$P$5:$P$24,0)))</f>
        <v>Outros rendimentos / vendas
Regra: R04 · Outros rendimentos relevantes dentro do EBITDA (limite: 1%)</v>
      </c>
      <c r="G9" s="10" t="str">
        <f aca="false">IF($A9="","",INDEX(Regras!$R$5:$R$24,MATCH($A9,Regras!$P$5:$P$24,0)))</f>
        <v>Ganhos pontuais (venda de ativos, subsídios, indemnizações) dentro do EBITDA.</v>
      </c>
      <c r="H9" s="11" t="str">
        <f aca="false">IF($A9="","",INDEX(Regras!$O$5:$O$24,MATCH($A9,Regras!$P$5:$P$24,0)))</f>
        <v>Alta</v>
      </c>
      <c r="I9" s="10" t="str">
        <f aca="false">IF($A9="","",INDEX(Regras!$S$5:$S$24,MATCH($A9,Regras!$P$5:$P$24,0)))</f>
        <v>Qual o detalhe de outros rendimentos? Inclui ganhos com venda de ativos, subsídios ou outros itens que não se repetem?</v>
      </c>
      <c r="J9" s="10" t="str">
        <f aca="false">IF($A9="","",INDEX(Regras!$T$5:$T$24,MATCH($A9,Regras!$P$5:$P$24,0)))</f>
        <v>Razão (extrato) de outros rendimentos; documentos dos itens relevantes</v>
      </c>
      <c r="K9" s="12"/>
      <c r="L9" s="12"/>
    </row>
    <row r="10" customFormat="false" ht="79.5" hidden="false" customHeight="true" outlineLevel="0" collapsed="false">
      <c r="A10" s="9" t="n">
        <f aca="false">IF(5&lt;=$N$3,5,"")</f>
        <v>5</v>
      </c>
      <c r="B10" s="10" t="str">
        <f aca="false">IF($A10="","",INDEX(Regras!$A$5:$A$24,MATCH($A10,Regras!$P$5:$P$24,0)))</f>
        <v>R05</v>
      </c>
      <c r="C10" s="10" t="str">
        <f aca="false">IF($A10="","",INDEX(Regras!$B$5:$B$24,MATCH($A10,Regras!$P$5:$P$24,0)))</f>
        <v>Qualidade do EBITDA</v>
      </c>
      <c r="D10" s="10" t="str">
        <f aca="false">IF($A10="","",INDEX(Regras!$N$5:$N$24,MATCH($A10,Regras!$P$5:$P$24,0)))</f>
        <v>2025</v>
      </c>
      <c r="E10" s="10" t="str">
        <f aca="false">IF($A10="","",INDEX(Regras!$Q$5:$Q$24,MATCH($A10,Regras!$P$5:$P$24,0)))</f>
        <v>Ajustes em % do EBITDA reportado — 2023: 5.8%; 2024: 9.5%; 2025: 32.2%. EBITDA 2025: reportado 1415, ajustado pela gestão 1870. Fonte: EBITDA Ajustado!B8:D8 e seguintes; DRE!B5:D5</v>
      </c>
      <c r="F10" s="10" t="str">
        <f aca="false">IF($A10="","",INDEX(Regras!$D$5:$D$24,MATCH($A10,Regras!$P$5:$P$24,0))&amp;CHAR(10)&amp;"Regra: "&amp;INDEX(Regras!$V$5:$V$24,MATCH($A10,Regras!$P$5:$P$24,0)))</f>
        <v>Ajustes / EBITDA reportado
Regra: R05 · Ajustes da gestão elevados (limite: 10%)</v>
      </c>
      <c r="G10" s="10" t="str">
        <f aca="false">IF($A10="","",INDEX(Regras!$R$5:$R$24,MATCH($A10,Regras!$P$5:$P$24,0)))</f>
        <v>Se os ajustes são de facto não recorrentes e têm prova.</v>
      </c>
      <c r="H10" s="11" t="str">
        <f aca="false">IF($A10="","",INDEX(Regras!$O$5:$O$24,MATCH($A10,Regras!$P$5:$P$24,0)))</f>
        <v>Alta</v>
      </c>
      <c r="I10" s="10" t="str">
        <f aca="false">IF($A10="","",INDEX(Regras!$S$5:$S$24,MATCH($A10,Regras!$P$5:$P$24,0)))</f>
        <v>Que documentos sustentam cada ajuste? Por que cada custo é considerado não recorrente?</v>
      </c>
      <c r="J10" s="10" t="str">
        <f aca="false">IF($A10="","",INDEX(Regras!$T$5:$T$24,MATCH($A10,Regras!$P$5:$P$24,0)))</f>
        <v>Faturas e contratos de cada ajuste</v>
      </c>
      <c r="K10" s="12"/>
      <c r="L10" s="12"/>
    </row>
    <row r="11" customFormat="false" ht="79.5" hidden="false" customHeight="true" outlineLevel="0" collapsed="false">
      <c r="A11" s="9" t="n">
        <f aca="false">IF(6&lt;=$N$3,6,"")</f>
        <v>6</v>
      </c>
      <c r="B11" s="10" t="str">
        <f aca="false">IF($A11="","",INDEX(Regras!$A$5:$A$24,MATCH($A11,Regras!$P$5:$P$24,0)))</f>
        <v>R06</v>
      </c>
      <c r="C11" s="10" t="str">
        <f aca="false">IF($A11="","",INDEX(Regras!$B$5:$B$24,MATCH($A11,Regras!$P$5:$P$24,0)))</f>
        <v>Qualidade do EBITDA</v>
      </c>
      <c r="D11" s="10" t="str">
        <f aca="false">IF($A11="","",INDEX(Regras!$N$5:$N$24,MATCH($A11,Regras!$P$5:$P$24,0)))</f>
        <v>2025</v>
      </c>
      <c r="E11" s="10" t="str">
        <f aca="false">IF($A11="","",INDEX(Regras!$Q$5:$Q$24,MATCH($A11,Regras!$P$5:$P$24,0)))</f>
        <v>1 ajuste(s) aparece(m) em 2023, 2024 e 2025 (ex.: Custos de reestruturação). Fonte: EBITDA Ajustado!B8:D8 e seguintes</v>
      </c>
      <c r="F11" s="10" t="str">
        <f aca="false">IF($A11="","",INDEX(Regras!$D$5:$D$24,MATCH($A11,Regras!$P$5:$P$24,0))&amp;CHAR(10)&amp;"Regra: "&amp;INDEX(Regras!$V$5:$V$24,MATCH($A11,Regras!$P$5:$P$24,0)))</f>
        <v>Nº de ajustes com valor nos 3 anos
Regra: R06 · Ajuste 'não recorrente' que se repete todos os anos (limite: mais de 0)</v>
      </c>
      <c r="G11" s="10" t="str">
        <f aca="false">IF($A11="","",INDEX(Regras!$R$5:$R$24,MATCH($A11,Regras!$P$5:$P$24,0)))</f>
        <v>Custos classificados como não recorrentes que, na prática, são recorrentes.</v>
      </c>
      <c r="H11" s="11" t="str">
        <f aca="false">IF($A11="","",INDEX(Regras!$O$5:$O$24,MATCH($A11,Regras!$P$5:$P$24,0)))</f>
        <v>Média</v>
      </c>
      <c r="I11" s="10" t="str">
        <f aca="false">IF($A11="","",INDEX(Regras!$S$5:$S$24,MATCH($A11,Regras!$P$5:$P$24,0)))</f>
        <v>Por que este custo aparece todos os anos? O que garante que não se repetirá?</v>
      </c>
      <c r="J11" s="10" t="str">
        <f aca="false">IF($A11="","",INDEX(Regras!$T$5:$T$24,MATCH($A11,Regras!$P$5:$P$24,0)))</f>
        <v>Detalhe do ajuste por ano; plano e custos do programa associado</v>
      </c>
      <c r="K11" s="12"/>
      <c r="L11" s="12"/>
    </row>
    <row r="12" customFormat="false" ht="79.5" hidden="false" customHeight="true" outlineLevel="0" collapsed="false">
      <c r="A12" s="9" t="n">
        <f aca="false">IF(7&lt;=$N$3,7,"")</f>
        <v>7</v>
      </c>
      <c r="B12" s="10" t="str">
        <f aca="false">IF($A12="","",INDEX(Regras!$A$5:$A$24,MATCH($A12,Regras!$P$5:$P$24,0)))</f>
        <v>R07</v>
      </c>
      <c r="C12" s="10" t="str">
        <f aca="false">IF($A12="","",INDEX(Regras!$B$5:$B$24,MATCH($A12,Regras!$P$5:$P$24,0)))</f>
        <v>Capital de giro</v>
      </c>
      <c r="D12" s="10" t="str">
        <f aca="false">IF($A12="","",INDEX(Regras!$N$5:$N$24,MATCH($A12,Regras!$P$5:$P$24,0)))</f>
        <v>2025</v>
      </c>
      <c r="E12" s="10" t="str">
        <f aca="false">IF($A12="","",INDEX(Regras!$Q$5:$Q$24,MATCH($A12,Regras!$P$5:$P$24,0)))</f>
        <v>Clientes +24.8% vs. vendas +9.2% em 2025 (diferença de 15.6 p.p.; 2024: 1.7 p.p.). DSO: 63 → 72 dias. Fonte: Balanço!B9:E9; DRE!B5:D5</v>
      </c>
      <c r="F12" s="10" t="str">
        <f aca="false">IF($A12="","",INDEX(Regras!$D$5:$D$24,MATCH($A12,Regras!$P$5:$P$24,0))&amp;CHAR(10)&amp;"Regra: "&amp;INDEX(Regras!$V$5:$V$24,MATCH($A12,Regras!$P$5:$P$24,0)))</f>
        <v>Crescimento de clientes − crescimento das vendas (p.p.)
Regra: R07 · Contas a receber crescem acima das vendas (limite: 10 p.p.)</v>
      </c>
      <c r="G12" s="10" t="str">
        <f aca="false">IF($A12="","",INDEX(Regras!$R$5:$R$24,MATCH($A12,Regras!$P$5:$P$24,0)))</f>
        <v>Possível deterioração dos recebimentos ou alargamento de prazos.</v>
      </c>
      <c r="H12" s="11" t="str">
        <f aca="false">IF($A12="","",INDEX(Regras!$O$5:$O$24,MATCH($A12,Regras!$P$5:$P$24,0)))</f>
        <v>Alta</v>
      </c>
      <c r="I12" s="10" t="str">
        <f aca="false">IF($A12="","",INDEX(Regras!$S$5:$S$24,MATCH($A12,Regras!$P$5:$P$24,0)))</f>
        <v>Como evoluíram os prazos de pagamento e os saldos vencidos? Que clientes explicam o aumento? Houve alargamento de prazos?</v>
      </c>
      <c r="J12" s="10" t="str">
        <f aca="false">IF($A12="","",INDEX(Regras!$T$5:$T$24,MATCH($A12,Regras!$P$5:$P$24,0)))</f>
        <v>Aging de clientes nos dois últimos fechos; recebimentos após o fecho</v>
      </c>
      <c r="K12" s="12"/>
      <c r="L12" s="12"/>
    </row>
    <row r="13" customFormat="false" ht="79.5" hidden="false" customHeight="true" outlineLevel="0" collapsed="false">
      <c r="A13" s="9" t="n">
        <f aca="false">IF(8&lt;=$N$3,8,"")</f>
        <v>8</v>
      </c>
      <c r="B13" s="10" t="str">
        <f aca="false">IF($A13="","",INDEX(Regras!$A$5:$A$24,MATCH($A13,Regras!$P$5:$P$24,0)))</f>
        <v>R09</v>
      </c>
      <c r="C13" s="10" t="str">
        <f aca="false">IF($A13="","",INDEX(Regras!$B$5:$B$24,MATCH($A13,Regras!$P$5:$P$24,0)))</f>
        <v>Capital de giro</v>
      </c>
      <c r="D13" s="10" t="str">
        <f aca="false">IF($A13="","",INDEX(Regras!$N$5:$N$24,MATCH($A13,Regras!$P$5:$P$24,0)))</f>
        <v>2025</v>
      </c>
      <c r="E13" s="10" t="str">
        <f aca="false">IF($A13="","",INDEX(Regras!$Q$5:$Q$24,MATCH($A13,Regras!$P$5:$P$24,0)))</f>
        <v>Inventários +25.5% vs. CMV +14.5% em 2025 (diferença de 11 p.p.). DIO: 73 → 80 dias. Fonte: Balanço!B8:E8; DRE!B6:D6</v>
      </c>
      <c r="F13" s="10" t="str">
        <f aca="false">IF($A13="","",INDEX(Regras!$D$5:$D$24,MATCH($A13,Regras!$P$5:$P$24,0))&amp;CHAR(10)&amp;"Regra: "&amp;INDEX(Regras!$V$5:$V$24,MATCH($A13,Regras!$P$5:$P$24,0)))</f>
        <v>Crescimento dos inventários − crescimento do CMV (p.p.)
Regra: R09 · Inventários crescem acima do CMV (limite: 10 p.p.)</v>
      </c>
      <c r="G13" s="10" t="str">
        <f aca="false">IF($A13="","",INDEX(Regras!$R$5:$R$24,MATCH($A13,Regras!$P$5:$P$24,0)))</f>
        <v>Stock parado ou obsoleto; compras acima das necessidades.</v>
      </c>
      <c r="H13" s="11" t="str">
        <f aca="false">IF($A13="","",INDEX(Regras!$O$5:$O$24,MATCH($A13,Regras!$P$5:$P$24,0)))</f>
        <v>Média</v>
      </c>
      <c r="I13" s="10" t="str">
        <f aca="false">IF($A13="","",INDEX(Regras!$S$5:$S$24,MATCH($A13,Regras!$P$5:$P$24,0)))</f>
        <v>Qual a composição e a antiguidade dos stocks? Que encomendas justificam o nível atual? Qual a política de imparidades?</v>
      </c>
      <c r="J13" s="10" t="str">
        <f aca="false">IF($A13="","",INDEX(Regras!$T$5:$T$24,MATCH($A13,Regras!$P$5:$P$24,0)))</f>
        <v>Aging de inventários; artigos sem movimento; carteira de encomendas</v>
      </c>
      <c r="K13" s="12"/>
      <c r="L13" s="12"/>
    </row>
    <row r="14" customFormat="false" ht="79.5" hidden="false" customHeight="true" outlineLevel="0" collapsed="false">
      <c r="A14" s="9" t="n">
        <f aca="false">IF(9&lt;=$N$3,9,"")</f>
        <v>9</v>
      </c>
      <c r="B14" s="10" t="str">
        <f aca="false">IF($A14="","",INDEX(Regras!$A$5:$A$24,MATCH($A14,Regras!$P$5:$P$24,0)))</f>
        <v>R10</v>
      </c>
      <c r="C14" s="10" t="str">
        <f aca="false">IF($A14="","",INDEX(Regras!$B$5:$B$24,MATCH($A14,Regras!$P$5:$P$24,0)))</f>
        <v>Geração de caixa</v>
      </c>
      <c r="D14" s="10" t="str">
        <f aca="false">IF($A14="","",INDEX(Regras!$N$5:$N$24,MATCH($A14,Regras!$P$5:$P$24,0)))</f>
        <v>2025</v>
      </c>
      <c r="E14" s="10" t="str">
        <f aca="false">IF($A14="","",INDEX(Regras!$Q$5:$Q$24,MATCH($A14,Regras!$P$5:$P$24,0)))</f>
        <v>Conversão de caixa — 2023: 89.3%; 2024: 87.1%; 2025: 20.5%. FCO 2025: -114. Fonte: DFC!B15:D15; DRE!B5:D5</v>
      </c>
      <c r="F14" s="10" t="str">
        <f aca="false">IF($A14="","",INDEX(Regras!$D$5:$D$24,MATCH($A14,Regras!$P$5:$P$24,0))&amp;CHAR(10)&amp;"Regra: "&amp;INDEX(Regras!$V$5:$V$24,MATCH($A14,Regras!$P$5:$P$24,0)))</f>
        <v>Caixa gerada pelas operações / EBITDA
Regra: R10 · Fraca conversão do EBITDA em caixa (limite: 70%)</v>
      </c>
      <c r="G14" s="10" t="str">
        <f aca="false">IF($A14="","",INDEX(Regras!$R$5:$R$24,MATCH($A14,Regras!$P$5:$P$24,0)))</f>
        <v>EBITDA que não se transforma em caixa.</v>
      </c>
      <c r="H14" s="11" t="str">
        <f aca="false">IF($A14="","",INDEX(Regras!$O$5:$O$24,MATCH($A14,Regras!$P$5:$P$24,0)))</f>
        <v>Alta</v>
      </c>
      <c r="I14" s="10" t="str">
        <f aca="false">IF($A14="","",INDEX(Regras!$S$5:$S$24,MATCH($A14,Regras!$P$5:$P$24,0)))</f>
        <v>Por que o EBITDA não se converteu em caixa? Que rubricas de capital de giro explicam a diferença?</v>
      </c>
      <c r="J14" s="10" t="str">
        <f aca="false">IF($A14="","",INDEX(Regras!$T$5:$T$24,MATCH($A14,Regras!$P$5:$P$24,0)))</f>
        <v>Reconciliação entre EBITDA e caixa; mapa mensal de capital de giro</v>
      </c>
      <c r="K14" s="12"/>
      <c r="L14" s="12"/>
    </row>
    <row r="15" customFormat="false" ht="79.5" hidden="false" customHeight="true" outlineLevel="0" collapsed="false">
      <c r="A15" s="9" t="n">
        <f aca="false">IF(10&lt;=$N$3,10,"")</f>
        <v>10</v>
      </c>
      <c r="B15" s="10" t="str">
        <f aca="false">IF($A15="","",INDEX(Regras!$A$5:$A$24,MATCH($A15,Regras!$P$5:$P$24,0)))</f>
        <v>R11</v>
      </c>
      <c r="C15" s="10" t="str">
        <f aca="false">IF($A15="","",INDEX(Regras!$B$5:$B$24,MATCH($A15,Regras!$P$5:$P$24,0)))</f>
        <v>Dívida</v>
      </c>
      <c r="D15" s="10" t="str">
        <f aca="false">IF($A15="","",INDEX(Regras!$N$5:$N$24,MATCH($A15,Regras!$P$5:$P$24,0)))</f>
        <v>2025</v>
      </c>
      <c r="E15" s="10" t="str">
        <f aca="false">IF($A15="","",INDEX(Regras!$Q$5:$Q$24,MATCH($A15,Regras!$P$5:$P$24,0)))</f>
        <v>Dívida a vencer em 12 meses — 2023: 18.5%; 2024: 20.8%; 2025: 55.2% (2400 de 4350 em 2025). Fonte: Balanço!B23:E23; Balanço!B20:E20</v>
      </c>
      <c r="F15" s="10" t="str">
        <f aca="false">IF($A15="","",INDEX(Regras!$D$5:$D$24,MATCH($A15,Regras!$P$5:$P$24,0))&amp;CHAR(10)&amp;"Regra: "&amp;INDEX(Regras!$V$5:$V$24,MATCH($A15,Regras!$P$5:$P$24,0)))</f>
        <v>Financiamentos correntes / dívida financeira
Regra: R11 · Dívida concentrada nos próximos 12 meses (limite: 40%)</v>
      </c>
      <c r="G15" s="10" t="str">
        <f aca="false">IF($A15="","",INDEX(Regras!$R$5:$R$24,MATCH($A15,Regras!$P$5:$P$24,0)))</f>
        <v>Necessidade de refinanciamento.</v>
      </c>
      <c r="H15" s="11" t="str">
        <f aca="false">IF($A15="","",INDEX(Regras!$O$5:$O$24,MATCH($A15,Regras!$P$5:$P$24,0)))</f>
        <v>Alta</v>
      </c>
      <c r="I15" s="10" t="str">
        <f aca="false">IF($A15="","",INDEX(Regras!$S$5:$S$24,MATCH($A15,Regras!$P$5:$P$24,0)))</f>
        <v>Existem linhas contratadas ou negociações de refinanciamento em curso? Em que condições?</v>
      </c>
      <c r="J15" s="10" t="str">
        <f aca="false">IF($A15="","",INDEX(Regras!$T$5:$T$24,MATCH($A15,Regras!$P$5:$P$24,0)))</f>
        <v>Contratos de financiamento; propostas dos bancos; certificados de covenants</v>
      </c>
      <c r="K15" s="12"/>
      <c r="L15" s="12"/>
    </row>
    <row r="16" customFormat="false" ht="79.5" hidden="false" customHeight="true" outlineLevel="0" collapsed="false">
      <c r="A16" s="9" t="n">
        <f aca="false">IF(11&lt;=$N$3,11,"")</f>
        <v>11</v>
      </c>
      <c r="B16" s="10" t="str">
        <f aca="false">IF($A16="","",INDEX(Regras!$A$5:$A$24,MATCH($A16,Regras!$P$5:$P$24,0)))</f>
        <v>R13</v>
      </c>
      <c r="C16" s="10" t="str">
        <f aca="false">IF($A16="","",INDEX(Regras!$B$5:$B$24,MATCH($A16,Regras!$P$5:$P$24,0)))</f>
        <v>Consistência</v>
      </c>
      <c r="D16" s="10" t="str">
        <f aca="false">IF($A16="","",INDEX(Regras!$N$5:$N$24,MATCH($A16,Regras!$P$5:$P$24,0)))</f>
        <v>2024</v>
      </c>
      <c r="E16" s="10" t="str">
        <f aca="false">IF($A16="","",INDEX(Regras!$Q$5:$Q$24,MATCH($A16,Regras!$P$5:$P$24,0)))</f>
        <v>Caixa final da DFC − caixa do balanço — 2023: 0; 2024: 85; 2025: 0. Fonte: DFC!B31:D31; Balanço!B11:E11</v>
      </c>
      <c r="F16" s="10" t="str">
        <f aca="false">IF($A16="","",INDEX(Regras!$D$5:$D$24,MATCH($A16,Regras!$P$5:$P$24,0))&amp;CHAR(10)&amp;"Regra: "&amp;INDEX(Regras!$V$5:$V$24,MATCH($A16,Regras!$P$5:$P$24,0)))</f>
        <v>Caixa final da DFC − caixa do balanço
Regra: R13 · Caixa da DFC não bate com o balanço (limite: 1 mil €)</v>
      </c>
      <c r="G16" s="10" t="str">
        <f aca="false">IF($A16="","",INDEX(Regras!$R$5:$R$24,MATCH($A16,Regras!$P$5:$P$24,0)))</f>
        <v>Erro na DFC ou no balanço.</v>
      </c>
      <c r="H16" s="11" t="str">
        <f aca="false">IF($A16="","",INDEX(Regras!$O$5:$O$24,MATCH($A16,Regras!$P$5:$P$24,0)))</f>
        <v>Média</v>
      </c>
      <c r="I16" s="10" t="str">
        <f aca="false">IF($A16="","",INDEX(Regras!$S$5:$S$24,MATCH($A16,Regras!$P$5:$P$24,0)))</f>
        <v>Qual é o valor correto? A DFC é a versão auditada? Há outros erros na informação?</v>
      </c>
      <c r="J16" s="10" t="str">
        <f aca="false">IF($A16="","",INDEX(Regras!$T$5:$T$24,MATCH($A16,Regras!$P$5:$P$24,0)))</f>
        <v>DFC corrigida; relatório de auditoria</v>
      </c>
      <c r="K16" s="12"/>
      <c r="L16" s="12"/>
    </row>
    <row r="17" customFormat="false" ht="79.5" hidden="false" customHeight="true" outlineLevel="0" collapsed="false">
      <c r="A17" s="9" t="n">
        <f aca="false">IF(12&lt;=$N$3,12,"")</f>
        <v>12</v>
      </c>
      <c r="B17" s="10" t="str">
        <f aca="false">IF($A17="","",INDEX(Regras!$A$5:$A$24,MATCH($A17,Regras!$P$5:$P$24,0)))</f>
        <v>R14</v>
      </c>
      <c r="C17" s="10" t="str">
        <f aca="false">IF($A17="","",INDEX(Regras!$B$5:$B$24,MATCH($A17,Regras!$P$5:$P$24,0)))</f>
        <v>Consistência</v>
      </c>
      <c r="D17" s="10" t="str">
        <f aca="false">IF($A17="","",INDEX(Regras!$N$5:$N$24,MATCH($A17,Regras!$P$5:$P$24,0)))</f>
        <v>2024</v>
      </c>
      <c r="E17" s="10" t="str">
        <f aca="false">IF($A17="","",INDEX(Regras!$Q$5:$Q$24,MATCH($A17,Regras!$P$5:$P$24,0)))</f>
        <v>Diferença entre DFC e balanço nas variações de capital de giro — 2023: 0; 2024: 85; 2025: 0. Fonte: DFC!B10:D10 a DFC!B14:D14</v>
      </c>
      <c r="F17" s="10" t="str">
        <f aca="false">IF($A17="","",INDEX(Regras!$D$5:$D$24,MATCH($A17,Regras!$P$5:$P$24,0))&amp;CHAR(10)&amp;"Regra: "&amp;INDEX(Regras!$V$5:$V$24,MATCH($A17,Regras!$P$5:$P$24,0)))</f>
        <v>Soma das diferenças nas 5 linhas de capital de giro
Regra: R14 · Variações de capital de giro da DFC não batem com o balanço (limite: 1 mil €)</v>
      </c>
      <c r="G17" s="10" t="str">
        <f aca="false">IF($A17="","",INDEX(Regras!$R$5:$R$24,MATCH($A17,Regras!$P$5:$P$24,0)))</f>
        <v>Linha da DFC preenchida com o valor errado.</v>
      </c>
      <c r="H17" s="11" t="str">
        <f aca="false">IF($A17="","",INDEX(Regras!$O$5:$O$24,MATCH($A17,Regras!$P$5:$P$24,0)))</f>
        <v>Média</v>
      </c>
      <c r="I17" s="10" t="str">
        <f aca="false">IF($A17="","",INDEX(Regras!$S$5:$S$24,MATCH($A17,Regras!$P$5:$P$24,0)))</f>
        <v>Qual a variação correta de cada rubrica de capital de giro?</v>
      </c>
      <c r="J17" s="10" t="str">
        <f aca="false">IF($A17="","",INDEX(Regras!$T$5:$T$24,MATCH($A17,Regras!$P$5:$P$24,0)))</f>
        <v>DFC corrigida; balancetes de abertura e fecho</v>
      </c>
      <c r="K17" s="12"/>
      <c r="L17" s="12"/>
    </row>
    <row r="18" customFormat="false" ht="79.5" hidden="false" customHeight="true" outlineLevel="0" collapsed="false">
      <c r="A18" s="9" t="n">
        <f aca="false">IF(13&lt;=$N$3,13,"")</f>
        <v>13</v>
      </c>
      <c r="B18" s="10" t="str">
        <f aca="false">IF($A18="","",INDEX(Regras!$A$5:$A$24,MATCH($A18,Regras!$P$5:$P$24,0)))</f>
        <v>R18</v>
      </c>
      <c r="C18" s="10" t="str">
        <f aca="false">IF($A18="","",INDEX(Regras!$B$5:$B$24,MATCH($A18,Regras!$P$5:$P$24,0)))</f>
        <v>Informação</v>
      </c>
      <c r="D18" s="10" t="str">
        <f aca="false">IF($A18="","",INDEX(Regras!$N$5:$N$24,MATCH($A18,Regras!$P$5:$P$24,0)))</f>
        <v>2025</v>
      </c>
      <c r="E18" s="10" t="str">
        <f aca="false">IF($A18="","",INDEX(Regras!$Q$5:$Q$24,MATCH($A18,Regras!$P$5:$P$24,0)))</f>
        <v>5 documento(s) em falta: Evidência dos ajustes ao EBITDA (faturas, contratos); Detalhe de outros rendimentos e outros gastos; Aging de clientes; Aging de inventários; Contratos de financiamento. Fonte: Input, Documentos recebidos</v>
      </c>
      <c r="F18" s="10" t="str">
        <f aca="false">IF($A18="","",INDEX(Regras!$D$5:$D$24,MATCH($A18,Regras!$P$5:$P$24,0))&amp;CHAR(10)&amp;"Regra: "&amp;INDEX(Regras!$V$5:$V$24,MATCH($A18,Regras!$P$5:$P$24,0)))</f>
        <v>Nº de documentos marcados com 'Não'
Regra: R18 · Documentos obrigatórios em falta (limite: mais de 0)</v>
      </c>
      <c r="G18" s="10" t="str">
        <f aca="false">IF($A18="","",INDEX(Regras!$R$5:$R$24,MATCH($A18,Regras!$P$5:$P$24,0)))</f>
        <v>Sem estes documentos, alguns alertas não podem ser confirmados nem afastados.</v>
      </c>
      <c r="H18" s="11" t="str">
        <f aca="false">IF($A18="","",INDEX(Regras!$O$5:$O$24,MATCH($A18,Regras!$P$5:$P$24,0)))</f>
        <v>Média</v>
      </c>
      <c r="I18" s="10" t="str">
        <f aca="false">IF($A18="","",INDEX(Regras!$S$5:$S$24,MATCH($A18,Regras!$P$5:$P$24,0)))</f>
        <v>Podem enviar os documentos em falta?</v>
      </c>
      <c r="J18" s="10" t="str">
        <f aca="false">IF($A18="","",INDEX(Regras!$T$5:$T$24,MATCH($A18,Regras!$P$5:$P$24,0)))</f>
        <v>Os documentos listados na evidência</v>
      </c>
      <c r="K18" s="12"/>
      <c r="L18" s="12"/>
    </row>
    <row r="19" customFormat="false" ht="79.5" hidden="false" customHeight="true" outlineLevel="0" collapsed="false">
      <c r="A19" s="9" t="n">
        <f aca="false">IF(14&lt;=$N$3,14,"")</f>
        <v>14</v>
      </c>
      <c r="B19" s="10" t="str">
        <f aca="false">IF($A19="","",INDEX(Regras!$A$5:$A$24,MATCH($A19,Regras!$P$5:$P$24,0)))</f>
        <v>R19</v>
      </c>
      <c r="C19" s="10" t="str">
        <f aca="false">IF($A19="","",INDEX(Regras!$B$5:$B$24,MATCH($A19,Regras!$P$5:$P$24,0)))</f>
        <v>Qualidade do EBITDA</v>
      </c>
      <c r="D19" s="10" t="str">
        <f aca="false">IF($A19="","",INDEX(Regras!$N$5:$N$24,MATCH($A19,Regras!$P$5:$P$24,0)))</f>
        <v>2025</v>
      </c>
      <c r="E19" s="10" t="str">
        <f aca="false">IF($A19="","",INDEX(Regras!$Q$5:$Q$24,MATCH($A19,Regras!$P$5:$P$24,0)))</f>
        <v>Ganhos na alienação de ativos — 2023: 0; 2024: 0; 2025: 250 (17.7% do EBITDA). EBITDA de 2025 sem esses ganhos: 1165. Fonte: DFC!B9:D9; DRE!B11:D11</v>
      </c>
      <c r="F19" s="10" t="str">
        <f aca="false">IF($A19="","",INDEX(Regras!$D$5:$D$24,MATCH($A19,Regras!$P$5:$P$24,0))&amp;CHAR(10)&amp;"Regra: "&amp;INDEX(Regras!$V$5:$V$24,MATCH($A19,Regras!$P$5:$P$24,0)))</f>
        <v>Ganhos na alienação de ativos / EBITDA reportado
Regra: R19 · Ganho na venda de ativos dentro do EBITDA (limite: 5%)</v>
      </c>
      <c r="G19" s="10" t="str">
        <f aca="false">IF($A19="","",INDEX(Regras!$R$5:$R$24,MATCH($A19,Regras!$P$5:$P$24,0)))</f>
        <v>Ganho que não se repete a aumentar o EBITDA.</v>
      </c>
      <c r="H19" s="11" t="str">
        <f aca="false">IF($A19="","",INDEX(Regras!$O$5:$O$24,MATCH($A19,Regras!$P$5:$P$24,0)))</f>
        <v>Alta</v>
      </c>
      <c r="I19" s="10" t="str">
        <f aca="false">IF($A19="","",INDEX(Regras!$S$5:$S$24,MATCH($A19,Regras!$P$5:$P$24,0)))</f>
        <v>Que ativos foram vendidos? Em que rubrica foi registado o ganho e está incluído no EBITDA apresentado?</v>
      </c>
      <c r="J19" s="10" t="str">
        <f aca="false">IF($A19="","",INDEX(Regras!$T$5:$T$24,MATCH($A19,Regras!$P$5:$P$24,0)))</f>
        <v>Contrato ou escritura de venda; registo contabilístico do ganho</v>
      </c>
      <c r="K19" s="12"/>
      <c r="L19" s="12"/>
    </row>
    <row r="20" customFormat="false" ht="79.5" hidden="false" customHeight="true" outlineLevel="0" collapsed="false">
      <c r="A20" s="9" t="n">
        <f aca="false">IF(15&lt;=$N$3,15,"")</f>
        <v>15</v>
      </c>
      <c r="B20" s="10" t="str">
        <f aca="false">IF($A20="","",INDEX(Regras!$A$5:$A$24,MATCH($A20,Regras!$P$5:$P$24,0)))</f>
        <v>R20</v>
      </c>
      <c r="C20" s="10" t="str">
        <f aca="false">IF($A20="","",INDEX(Regras!$B$5:$B$24,MATCH($A20,Regras!$P$5:$P$24,0)))</f>
        <v>Dívida</v>
      </c>
      <c r="D20" s="10" t="str">
        <f aca="false">IF($A20="","",INDEX(Regras!$N$5:$N$24,MATCH($A20,Regras!$P$5:$P$24,0)))</f>
        <v>2025</v>
      </c>
      <c r="E20" s="10" t="str">
        <f aca="false">IF($A20="","",INDEX(Regras!$Q$5:$Q$24,MATCH($A20,Regras!$P$5:$P$24,0)))</f>
        <v>Dívida líquida / EBITDA em 2025: 2.65x (limite 3x); folga de 11.7%. EBITDA mínimo para cumprir: 1249. Sem ganhos na alienação, o rácio é 3.22x. Fonte: Dívida!I6 (empréstimo B, teste anual); Balanço!B23:E23</v>
      </c>
      <c r="F20" s="10" t="str">
        <f aca="false">IF($A20="","",INDEX(Regras!$D$5:$D$24,MATCH($A20,Regras!$P$5:$P$24,0))&amp;CHAR(10)&amp;"Regra: "&amp;INDEX(Regras!$V$5:$V$24,MATCH($A20,Regras!$P$5:$P$24,0)))</f>
        <v>1 − (dívida líquida / EBITDA) / limite do covenant
Regra: R20 · Folga do covenant reduzida (limite: 15%)</v>
      </c>
      <c r="G20" s="10" t="str">
        <f aca="false">IF($A20="","",INDEX(Regras!$R$5:$R$24,MATCH($A20,Regras!$P$5:$P$24,0)))</f>
        <v>Risco de quebra do covenant se o EBITDA comparável for menor do que o reportado.</v>
      </c>
      <c r="H20" s="11" t="str">
        <f aca="false">IF($A20="","",INDEX(Regras!$O$5:$O$24,MATCH($A20,Regras!$P$5:$P$24,0)))</f>
        <v>Alta</v>
      </c>
      <c r="I20" s="10" t="str">
        <f aca="false">IF($A20="","",INDEX(Regras!$S$5:$S$24,MATCH($A20,Regras!$P$5:$P$24,0)))</f>
        <v>Como o contrato define o EBITDA do covenant? Qual foi a folga nos últimos testes? Já houve pedidos de dispensa (waiver)?</v>
      </c>
      <c r="J20" s="10" t="str">
        <f aca="false">IF($A20="","",INDEX(Regras!$T$5:$T$24,MATCH($A20,Regras!$P$5:$P$24,0)))</f>
        <v>Contrato do empréstimo; certificados de cumprimento de covenants</v>
      </c>
      <c r="K20" s="12"/>
      <c r="L20" s="12"/>
    </row>
    <row r="21" customFormat="false" ht="79.5" hidden="false" customHeight="true" outlineLevel="0" collapsed="false">
      <c r="A21" s="9" t="str">
        <f aca="false">IF(16&lt;=$N$3,16,"")</f>
        <v/>
      </c>
      <c r="B21" s="10" t="str">
        <f aca="false">IF($A21="","",INDEX(Regras!$A$5:$A$24,MATCH($A21,Regras!$P$5:$P$24,0)))</f>
        <v/>
      </c>
      <c r="C21" s="10" t="str">
        <f aca="false">IF($A21="","",INDEX(Regras!$B$5:$B$24,MATCH($A21,Regras!$P$5:$P$24,0)))</f>
        <v/>
      </c>
      <c r="D21" s="10" t="str">
        <f aca="false">IF($A21="","",INDEX(Regras!$N$5:$N$24,MATCH($A21,Regras!$P$5:$P$24,0)))</f>
        <v/>
      </c>
      <c r="E21" s="10" t="str">
        <f aca="false">IF($A21="","",INDEX(Regras!$Q$5:$Q$24,MATCH($A21,Regras!$P$5:$P$24,0)))</f>
        <v/>
      </c>
      <c r="F21" s="10" t="str">
        <f aca="false">IF($A21="","",INDEX(Regras!$D$5:$D$24,MATCH($A21,Regras!$P$5:$P$24,0))&amp;CHAR(10)&amp;"Regra: "&amp;INDEX(Regras!$V$5:$V$24,MATCH($A21,Regras!$P$5:$P$24,0)))</f>
        <v/>
      </c>
      <c r="G21" s="10" t="str">
        <f aca="false">IF($A21="","",INDEX(Regras!$R$5:$R$24,MATCH($A21,Regras!$P$5:$P$24,0)))</f>
        <v/>
      </c>
      <c r="H21" s="11" t="str">
        <f aca="false">IF($A21="","",INDEX(Regras!$O$5:$O$24,MATCH($A21,Regras!$P$5:$P$24,0)))</f>
        <v/>
      </c>
      <c r="I21" s="10" t="str">
        <f aca="false">IF($A21="","",INDEX(Regras!$S$5:$S$24,MATCH($A21,Regras!$P$5:$P$24,0)))</f>
        <v/>
      </c>
      <c r="J21" s="10" t="str">
        <f aca="false">IF($A21="","",INDEX(Regras!$T$5:$T$24,MATCH($A21,Regras!$P$5:$P$24,0)))</f>
        <v/>
      </c>
      <c r="K21" s="12"/>
      <c r="L21" s="12"/>
    </row>
    <row r="22" customFormat="false" ht="79.5" hidden="false" customHeight="true" outlineLevel="0" collapsed="false">
      <c r="A22" s="9" t="str">
        <f aca="false">IF(17&lt;=$N$3,17,"")</f>
        <v/>
      </c>
      <c r="B22" s="10" t="str">
        <f aca="false">IF($A22="","",INDEX(Regras!$A$5:$A$24,MATCH($A22,Regras!$P$5:$P$24,0)))</f>
        <v/>
      </c>
      <c r="C22" s="10" t="str">
        <f aca="false">IF($A22="","",INDEX(Regras!$B$5:$B$24,MATCH($A22,Regras!$P$5:$P$24,0)))</f>
        <v/>
      </c>
      <c r="D22" s="10" t="str">
        <f aca="false">IF($A22="","",INDEX(Regras!$N$5:$N$24,MATCH($A22,Regras!$P$5:$P$24,0)))</f>
        <v/>
      </c>
      <c r="E22" s="10" t="str">
        <f aca="false">IF($A22="","",INDEX(Regras!$Q$5:$Q$24,MATCH($A22,Regras!$P$5:$P$24,0)))</f>
        <v/>
      </c>
      <c r="F22" s="10" t="str">
        <f aca="false">IF($A22="","",INDEX(Regras!$D$5:$D$24,MATCH($A22,Regras!$P$5:$P$24,0))&amp;CHAR(10)&amp;"Regra: "&amp;INDEX(Regras!$V$5:$V$24,MATCH($A22,Regras!$P$5:$P$24,0)))</f>
        <v/>
      </c>
      <c r="G22" s="10" t="str">
        <f aca="false">IF($A22="","",INDEX(Regras!$R$5:$R$24,MATCH($A22,Regras!$P$5:$P$24,0)))</f>
        <v/>
      </c>
      <c r="H22" s="11" t="str">
        <f aca="false">IF($A22="","",INDEX(Regras!$O$5:$O$24,MATCH($A22,Regras!$P$5:$P$24,0)))</f>
        <v/>
      </c>
      <c r="I22" s="10" t="str">
        <f aca="false">IF($A22="","",INDEX(Regras!$S$5:$S$24,MATCH($A22,Regras!$P$5:$P$24,0)))</f>
        <v/>
      </c>
      <c r="J22" s="10" t="str">
        <f aca="false">IF($A22="","",INDEX(Regras!$T$5:$T$24,MATCH($A22,Regras!$P$5:$P$24,0)))</f>
        <v/>
      </c>
      <c r="K22" s="12"/>
      <c r="L22" s="12"/>
    </row>
    <row r="23" customFormat="false" ht="79.5" hidden="false" customHeight="true" outlineLevel="0" collapsed="false">
      <c r="A23" s="9" t="str">
        <f aca="false">IF(18&lt;=$N$3,18,"")</f>
        <v/>
      </c>
      <c r="B23" s="10" t="str">
        <f aca="false">IF($A23="","",INDEX(Regras!$A$5:$A$24,MATCH($A23,Regras!$P$5:$P$24,0)))</f>
        <v/>
      </c>
      <c r="C23" s="10" t="str">
        <f aca="false">IF($A23="","",INDEX(Regras!$B$5:$B$24,MATCH($A23,Regras!$P$5:$P$24,0)))</f>
        <v/>
      </c>
      <c r="D23" s="10" t="str">
        <f aca="false">IF($A23="","",INDEX(Regras!$N$5:$N$24,MATCH($A23,Regras!$P$5:$P$24,0)))</f>
        <v/>
      </c>
      <c r="E23" s="10" t="str">
        <f aca="false">IF($A23="","",INDEX(Regras!$Q$5:$Q$24,MATCH($A23,Regras!$P$5:$P$24,0)))</f>
        <v/>
      </c>
      <c r="F23" s="10" t="str">
        <f aca="false">IF($A23="","",INDEX(Regras!$D$5:$D$24,MATCH($A23,Regras!$P$5:$P$24,0))&amp;CHAR(10)&amp;"Regra: "&amp;INDEX(Regras!$V$5:$V$24,MATCH($A23,Regras!$P$5:$P$24,0)))</f>
        <v/>
      </c>
      <c r="G23" s="10" t="str">
        <f aca="false">IF($A23="","",INDEX(Regras!$R$5:$R$24,MATCH($A23,Regras!$P$5:$P$24,0)))</f>
        <v/>
      </c>
      <c r="H23" s="11" t="str">
        <f aca="false">IF($A23="","",INDEX(Regras!$O$5:$O$24,MATCH($A23,Regras!$P$5:$P$24,0)))</f>
        <v/>
      </c>
      <c r="I23" s="10" t="str">
        <f aca="false">IF($A23="","",INDEX(Regras!$S$5:$S$24,MATCH($A23,Regras!$P$5:$P$24,0)))</f>
        <v/>
      </c>
      <c r="J23" s="10" t="str">
        <f aca="false">IF($A23="","",INDEX(Regras!$T$5:$T$24,MATCH($A23,Regras!$P$5:$P$24,0)))</f>
        <v/>
      </c>
      <c r="K23" s="12"/>
      <c r="L23" s="12"/>
    </row>
    <row r="24" customFormat="false" ht="79.5" hidden="false" customHeight="true" outlineLevel="0" collapsed="false">
      <c r="A24" s="9" t="str">
        <f aca="false">IF(19&lt;=$N$3,19,"")</f>
        <v/>
      </c>
      <c r="B24" s="10" t="str">
        <f aca="false">IF($A24="","",INDEX(Regras!$A$5:$A$24,MATCH($A24,Regras!$P$5:$P$24,0)))</f>
        <v/>
      </c>
      <c r="C24" s="10" t="str">
        <f aca="false">IF($A24="","",INDEX(Regras!$B$5:$B$24,MATCH($A24,Regras!$P$5:$P$24,0)))</f>
        <v/>
      </c>
      <c r="D24" s="10" t="str">
        <f aca="false">IF($A24="","",INDEX(Regras!$N$5:$N$24,MATCH($A24,Regras!$P$5:$P$24,0)))</f>
        <v/>
      </c>
      <c r="E24" s="10" t="str">
        <f aca="false">IF($A24="","",INDEX(Regras!$Q$5:$Q$24,MATCH($A24,Regras!$P$5:$P$24,0)))</f>
        <v/>
      </c>
      <c r="F24" s="10" t="str">
        <f aca="false">IF($A24="","",INDEX(Regras!$D$5:$D$24,MATCH($A24,Regras!$P$5:$P$24,0))&amp;CHAR(10)&amp;"Regra: "&amp;INDEX(Regras!$V$5:$V$24,MATCH($A24,Regras!$P$5:$P$24,0)))</f>
        <v/>
      </c>
      <c r="G24" s="10" t="str">
        <f aca="false">IF($A24="","",INDEX(Regras!$R$5:$R$24,MATCH($A24,Regras!$P$5:$P$24,0)))</f>
        <v/>
      </c>
      <c r="H24" s="11" t="str">
        <f aca="false">IF($A24="","",INDEX(Regras!$O$5:$O$24,MATCH($A24,Regras!$P$5:$P$24,0)))</f>
        <v/>
      </c>
      <c r="I24" s="10" t="str">
        <f aca="false">IF($A24="","",INDEX(Regras!$S$5:$S$24,MATCH($A24,Regras!$P$5:$P$24,0)))</f>
        <v/>
      </c>
      <c r="J24" s="10" t="str">
        <f aca="false">IF($A24="","",INDEX(Regras!$T$5:$T$24,MATCH($A24,Regras!$P$5:$P$24,0)))</f>
        <v/>
      </c>
      <c r="K24" s="12"/>
      <c r="L24" s="12"/>
    </row>
    <row r="25" customFormat="false" ht="79.5" hidden="false" customHeight="true" outlineLevel="0" collapsed="false">
      <c r="A25" s="9" t="str">
        <f aca="false">IF(20&lt;=$N$3,20,"")</f>
        <v/>
      </c>
      <c r="B25" s="10" t="str">
        <f aca="false">IF($A25="","",INDEX(Regras!$A$5:$A$24,MATCH($A25,Regras!$P$5:$P$24,0)))</f>
        <v/>
      </c>
      <c r="C25" s="10" t="str">
        <f aca="false">IF($A25="","",INDEX(Regras!$B$5:$B$24,MATCH($A25,Regras!$P$5:$P$24,0)))</f>
        <v/>
      </c>
      <c r="D25" s="10" t="str">
        <f aca="false">IF($A25="","",INDEX(Regras!$N$5:$N$24,MATCH($A25,Regras!$P$5:$P$24,0)))</f>
        <v/>
      </c>
      <c r="E25" s="10" t="str">
        <f aca="false">IF($A25="","",INDEX(Regras!$Q$5:$Q$24,MATCH($A25,Regras!$P$5:$P$24,0)))</f>
        <v/>
      </c>
      <c r="F25" s="10" t="str">
        <f aca="false">IF($A25="","",INDEX(Regras!$D$5:$D$24,MATCH($A25,Regras!$P$5:$P$24,0))&amp;CHAR(10)&amp;"Regra: "&amp;INDEX(Regras!$V$5:$V$24,MATCH($A25,Regras!$P$5:$P$24,0)))</f>
        <v/>
      </c>
      <c r="G25" s="10" t="str">
        <f aca="false">IF($A25="","",INDEX(Regras!$R$5:$R$24,MATCH($A25,Regras!$P$5:$P$24,0)))</f>
        <v/>
      </c>
      <c r="H25" s="11" t="str">
        <f aca="false">IF($A25="","",INDEX(Regras!$O$5:$O$24,MATCH($A25,Regras!$P$5:$P$24,0)))</f>
        <v/>
      </c>
      <c r="I25" s="10" t="str">
        <f aca="false">IF($A25="","",INDEX(Regras!$S$5:$S$24,MATCH($A25,Regras!$P$5:$P$24,0)))</f>
        <v/>
      </c>
      <c r="J25" s="10" t="str">
        <f aca="false">IF($A25="","",INDEX(Regras!$T$5:$T$24,MATCH($A25,Regras!$P$5:$P$24,0)))</f>
        <v/>
      </c>
      <c r="K25" s="12"/>
      <c r="L25" s="12"/>
    </row>
  </sheetData>
  <conditionalFormatting sqref="H6:H25">
    <cfRule type="cellIs" priority="2" operator="equal" aboveAverage="0" equalAverage="0" bottom="0" percent="0" rank="0" text="" dxfId="0">
      <formula>"Alta"</formula>
    </cfRule>
    <cfRule type="cellIs" priority="3" operator="equal" aboveAverage="0" equalAverage="0" bottom="0" percent="0" rank="0" text="" dxfId="1">
      <formula>"Média"</formula>
    </cfRule>
  </conditionalFormatting>
  <conditionalFormatting sqref="A6:L25">
    <cfRule type="expression" priority="4" aboveAverage="0" equalAverage="0" bottom="0" percent="0" rank="0" text="" dxfId="2">
      <formula>$A6=""</formula>
    </cfRule>
  </conditionalFormatting>
  <dataValidations count="1">
    <dataValidation allowBlank="false" errorStyle="stop" operator="between" showDropDown="false" showErrorMessage="false" showInputMessage="false" sqref="K6:K25" type="list">
      <formula1>"Aceite,Descartado,Pendente"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1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7" t="s">
        <v>32</v>
      </c>
      <c r="B4" s="8" t="s">
        <v>33</v>
      </c>
      <c r="C4" s="8" t="s">
        <v>34</v>
      </c>
      <c r="D4" s="8" t="s">
        <v>35</v>
      </c>
      <c r="E4" s="8" t="s">
        <v>36</v>
      </c>
      <c r="F4" s="8" t="s">
        <v>37</v>
      </c>
    </row>
    <row r="5" customFormat="false" ht="15" hidden="false" customHeight="false" outlineLevel="0" collapsed="false">
      <c r="A5" s="13" t="s">
        <v>38</v>
      </c>
      <c r="B5" s="14"/>
      <c r="C5" s="14"/>
      <c r="D5" s="14"/>
      <c r="E5" s="14"/>
      <c r="F5" s="14"/>
    </row>
    <row r="6" customFormat="false" ht="15" hidden="false" customHeight="false" outlineLevel="0" collapsed="false">
      <c r="A6" s="15" t="s">
        <v>39</v>
      </c>
      <c r="B6" s="16"/>
      <c r="C6" s="17" t="n">
        <v>18400</v>
      </c>
      <c r="D6" s="17" t="n">
        <v>19600</v>
      </c>
      <c r="E6" s="17" t="n">
        <v>21400</v>
      </c>
      <c r="F6" s="18" t="s">
        <v>40</v>
      </c>
    </row>
    <row r="7" customFormat="false" ht="15" hidden="false" customHeight="false" outlineLevel="0" collapsed="false">
      <c r="A7" s="15" t="s">
        <v>41</v>
      </c>
      <c r="B7" s="16"/>
      <c r="C7" s="17" t="n">
        <v>-13140</v>
      </c>
      <c r="D7" s="17" t="n">
        <v>-14070</v>
      </c>
      <c r="E7" s="17" t="n">
        <v>-16110</v>
      </c>
      <c r="F7" s="18" t="s">
        <v>42</v>
      </c>
    </row>
    <row r="8" customFormat="false" ht="15" hidden="false" customHeight="false" outlineLevel="0" collapsed="false">
      <c r="A8" s="15" t="s">
        <v>43</v>
      </c>
      <c r="B8" s="16"/>
      <c r="C8" s="17" t="n">
        <v>-1950</v>
      </c>
      <c r="D8" s="17" t="n">
        <v>-2050</v>
      </c>
      <c r="E8" s="17" t="n">
        <v>-2140</v>
      </c>
      <c r="F8" s="18" t="s">
        <v>44</v>
      </c>
    </row>
    <row r="9" customFormat="false" ht="15" hidden="false" customHeight="false" outlineLevel="0" collapsed="false">
      <c r="A9" s="15" t="s">
        <v>45</v>
      </c>
      <c r="B9" s="16"/>
      <c r="C9" s="17" t="n">
        <v>-1690</v>
      </c>
      <c r="D9" s="17" t="n">
        <v>-1760</v>
      </c>
      <c r="E9" s="17" t="n">
        <v>-1830</v>
      </c>
      <c r="F9" s="18" t="s">
        <v>46</v>
      </c>
    </row>
    <row r="10" customFormat="false" ht="15" hidden="false" customHeight="false" outlineLevel="0" collapsed="false">
      <c r="A10" s="15" t="s">
        <v>47</v>
      </c>
      <c r="B10" s="16"/>
      <c r="C10" s="17" t="n">
        <v>-55</v>
      </c>
      <c r="D10" s="17" t="n">
        <v>-85</v>
      </c>
      <c r="E10" s="17" t="n">
        <v>-160</v>
      </c>
      <c r="F10" s="18" t="s">
        <v>48</v>
      </c>
    </row>
    <row r="11" customFormat="false" ht="15" hidden="false" customHeight="false" outlineLevel="0" collapsed="false">
      <c r="A11" s="15" t="s">
        <v>49</v>
      </c>
      <c r="B11" s="16"/>
      <c r="C11" s="17" t="n">
        <v>45</v>
      </c>
      <c r="D11" s="17" t="n">
        <v>50</v>
      </c>
      <c r="E11" s="17" t="n">
        <v>310</v>
      </c>
      <c r="F11" s="18" t="s">
        <v>50</v>
      </c>
    </row>
    <row r="12" customFormat="false" ht="15" hidden="false" customHeight="false" outlineLevel="0" collapsed="false">
      <c r="A12" s="15" t="s">
        <v>51</v>
      </c>
      <c r="B12" s="16"/>
      <c r="C12" s="17" t="n">
        <v>-50</v>
      </c>
      <c r="D12" s="17" t="n">
        <v>-45</v>
      </c>
      <c r="E12" s="17" t="n">
        <v>-55</v>
      </c>
      <c r="F12" s="18" t="s">
        <v>52</v>
      </c>
    </row>
    <row r="13" customFormat="false" ht="15" hidden="false" customHeight="false" outlineLevel="0" collapsed="false">
      <c r="A13" s="15" t="s">
        <v>53</v>
      </c>
      <c r="B13" s="16"/>
      <c r="C13" s="17" t="n">
        <v>-380</v>
      </c>
      <c r="D13" s="17" t="n">
        <v>-400</v>
      </c>
      <c r="E13" s="17" t="n">
        <v>-430</v>
      </c>
      <c r="F13" s="18" t="s">
        <v>54</v>
      </c>
    </row>
    <row r="14" customFormat="false" ht="15" hidden="false" customHeight="false" outlineLevel="0" collapsed="false">
      <c r="A14" s="15" t="s">
        <v>55</v>
      </c>
      <c r="B14" s="16"/>
      <c r="C14" s="17" t="n">
        <v>-215</v>
      </c>
      <c r="D14" s="17" t="n">
        <v>-205</v>
      </c>
      <c r="E14" s="17" t="n">
        <v>-230</v>
      </c>
      <c r="F14" s="18" t="s">
        <v>56</v>
      </c>
    </row>
    <row r="15" customFormat="false" ht="15" hidden="false" customHeight="false" outlineLevel="0" collapsed="false">
      <c r="A15" s="15" t="s">
        <v>57</v>
      </c>
      <c r="B15" s="16"/>
      <c r="C15" s="17" t="n">
        <v>-222</v>
      </c>
      <c r="D15" s="17" t="n">
        <v>-238</v>
      </c>
      <c r="E15" s="17" t="n">
        <v>-174</v>
      </c>
      <c r="F15" s="18" t="s">
        <v>58</v>
      </c>
    </row>
    <row r="16" customFormat="false" ht="15" hidden="false" customHeight="false" outlineLevel="0" collapsed="false">
      <c r="A16" s="15" t="s">
        <v>59</v>
      </c>
      <c r="B16" s="16"/>
      <c r="C16" s="17" t="n">
        <v>743</v>
      </c>
      <c r="D16" s="17" t="n">
        <v>797</v>
      </c>
      <c r="E16" s="17" t="n">
        <v>581</v>
      </c>
      <c r="F16" s="18" t="s">
        <v>60</v>
      </c>
    </row>
    <row r="17" customFormat="false" ht="15" hidden="false" customHeight="false" outlineLevel="0" collapsed="false">
      <c r="A17" s="19"/>
      <c r="B17" s="19"/>
      <c r="C17" s="19"/>
      <c r="D17" s="19"/>
      <c r="E17" s="19"/>
      <c r="F17" s="19"/>
    </row>
    <row r="18" customFormat="false" ht="15" hidden="false" customHeight="false" outlineLevel="0" collapsed="false">
      <c r="A18" s="13" t="s">
        <v>61</v>
      </c>
      <c r="B18" s="14"/>
      <c r="C18" s="14"/>
      <c r="D18" s="14"/>
      <c r="E18" s="14"/>
      <c r="F18" s="14"/>
    </row>
    <row r="19" customFormat="false" ht="15" hidden="false" customHeight="false" outlineLevel="0" collapsed="false">
      <c r="A19" s="15" t="s">
        <v>62</v>
      </c>
      <c r="B19" s="17" t="n">
        <v>3600</v>
      </c>
      <c r="C19" s="17" t="n">
        <v>3640</v>
      </c>
      <c r="D19" s="17" t="n">
        <v>3690</v>
      </c>
      <c r="E19" s="17" t="n">
        <v>3430</v>
      </c>
      <c r="F19" s="18" t="s">
        <v>63</v>
      </c>
    </row>
    <row r="20" customFormat="false" ht="15" hidden="false" customHeight="false" outlineLevel="0" collapsed="false">
      <c r="A20" s="20" t="s">
        <v>64</v>
      </c>
      <c r="B20" s="17" t="n">
        <v>0</v>
      </c>
      <c r="C20" s="17" t="n">
        <v>0</v>
      </c>
      <c r="D20" s="17" t="n">
        <v>0</v>
      </c>
      <c r="E20" s="17" t="n">
        <v>0</v>
      </c>
      <c r="F20" s="19" t="s">
        <v>65</v>
      </c>
    </row>
    <row r="21" customFormat="false" ht="15" hidden="false" customHeight="false" outlineLevel="0" collapsed="false">
      <c r="A21" s="15" t="s">
        <v>66</v>
      </c>
      <c r="B21" s="17" t="n">
        <v>2480</v>
      </c>
      <c r="C21" s="17" t="n">
        <v>2592</v>
      </c>
      <c r="D21" s="17" t="n">
        <v>2814</v>
      </c>
      <c r="E21" s="17" t="n">
        <v>3531</v>
      </c>
      <c r="F21" s="18" t="s">
        <v>67</v>
      </c>
    </row>
    <row r="22" customFormat="false" ht="15" hidden="false" customHeight="false" outlineLevel="0" collapsed="false">
      <c r="A22" s="15" t="s">
        <v>68</v>
      </c>
      <c r="B22" s="17" t="n">
        <v>2980</v>
      </c>
      <c r="C22" s="17" t="n">
        <v>3125</v>
      </c>
      <c r="D22" s="17" t="n">
        <v>3383</v>
      </c>
      <c r="E22" s="17" t="n">
        <v>4222</v>
      </c>
      <c r="F22" s="18" t="s">
        <v>69</v>
      </c>
    </row>
    <row r="23" customFormat="false" ht="15" hidden="false" customHeight="false" outlineLevel="0" collapsed="false">
      <c r="A23" s="15" t="s">
        <v>70</v>
      </c>
      <c r="B23" s="17" t="n">
        <v>310</v>
      </c>
      <c r="C23" s="17" t="n">
        <v>320</v>
      </c>
      <c r="D23" s="17" t="n">
        <v>335</v>
      </c>
      <c r="E23" s="17" t="n">
        <v>350</v>
      </c>
      <c r="F23" s="18" t="s">
        <v>71</v>
      </c>
    </row>
    <row r="24" customFormat="false" ht="15" hidden="false" customHeight="false" outlineLevel="0" collapsed="false">
      <c r="A24" s="15" t="s">
        <v>72</v>
      </c>
      <c r="B24" s="17" t="n">
        <v>650</v>
      </c>
      <c r="C24" s="17" t="n">
        <v>636</v>
      </c>
      <c r="D24" s="17" t="n">
        <v>537</v>
      </c>
      <c r="E24" s="17" t="n">
        <v>603</v>
      </c>
      <c r="F24" s="18" t="s">
        <v>73</v>
      </c>
    </row>
    <row r="25" customFormat="false" ht="15" hidden="false" customHeight="false" outlineLevel="0" collapsed="false">
      <c r="A25" s="15" t="s">
        <v>74</v>
      </c>
      <c r="B25" s="17" t="n">
        <v>3200</v>
      </c>
      <c r="C25" s="17" t="n">
        <v>3643</v>
      </c>
      <c r="D25" s="17" t="n">
        <v>4090</v>
      </c>
      <c r="E25" s="17" t="n">
        <v>4271</v>
      </c>
      <c r="F25" s="18" t="s">
        <v>75</v>
      </c>
    </row>
    <row r="26" customFormat="false" ht="15" hidden="false" customHeight="false" outlineLevel="0" collapsed="false">
      <c r="A26" s="15" t="s">
        <v>76</v>
      </c>
      <c r="B26" s="17" t="n">
        <v>650</v>
      </c>
      <c r="C26" s="17" t="n">
        <v>743</v>
      </c>
      <c r="D26" s="17" t="n">
        <v>797</v>
      </c>
      <c r="E26" s="17" t="n">
        <v>581</v>
      </c>
      <c r="F26" s="18" t="s">
        <v>77</v>
      </c>
    </row>
    <row r="27" customFormat="false" ht="15" hidden="false" customHeight="false" outlineLevel="0" collapsed="false">
      <c r="A27" s="15" t="s">
        <v>78</v>
      </c>
      <c r="B27" s="17" t="n">
        <v>3500</v>
      </c>
      <c r="C27" s="17" t="n">
        <v>3300</v>
      </c>
      <c r="D27" s="17" t="n">
        <v>3050</v>
      </c>
      <c r="E27" s="17" t="n">
        <v>1950</v>
      </c>
      <c r="F27" s="18" t="s">
        <v>79</v>
      </c>
    </row>
    <row r="28" customFormat="false" ht="15" hidden="false" customHeight="false" outlineLevel="0" collapsed="false">
      <c r="A28" s="20" t="s">
        <v>80</v>
      </c>
      <c r="B28" s="17" t="n">
        <v>0</v>
      </c>
      <c r="C28" s="17" t="n">
        <v>0</v>
      </c>
      <c r="D28" s="17" t="n">
        <v>0</v>
      </c>
      <c r="E28" s="17" t="n">
        <v>0</v>
      </c>
      <c r="F28" s="19" t="s">
        <v>65</v>
      </c>
    </row>
    <row r="29" customFormat="false" ht="15" hidden="false" customHeight="false" outlineLevel="0" collapsed="false">
      <c r="A29" s="15" t="s">
        <v>81</v>
      </c>
      <c r="B29" s="17" t="n">
        <v>1900</v>
      </c>
      <c r="C29" s="17" t="n">
        <v>1980</v>
      </c>
      <c r="D29" s="17" t="n">
        <v>2159</v>
      </c>
      <c r="E29" s="17" t="n">
        <v>2825</v>
      </c>
      <c r="F29" s="18" t="s">
        <v>82</v>
      </c>
    </row>
    <row r="30" customFormat="false" ht="15" hidden="false" customHeight="false" outlineLevel="0" collapsed="false">
      <c r="A30" s="15" t="s">
        <v>83</v>
      </c>
      <c r="B30" s="17" t="n">
        <v>800</v>
      </c>
      <c r="C30" s="17" t="n">
        <v>750</v>
      </c>
      <c r="D30" s="17" t="n">
        <v>800</v>
      </c>
      <c r="E30" s="17" t="n">
        <v>2400</v>
      </c>
      <c r="F30" s="18" t="s">
        <v>84</v>
      </c>
    </row>
    <row r="31" customFormat="false" ht="15" hidden="false" customHeight="false" outlineLevel="0" collapsed="false">
      <c r="A31" s="15" t="s">
        <v>85</v>
      </c>
      <c r="B31" s="17" t="n">
        <v>620</v>
      </c>
      <c r="C31" s="17" t="n">
        <v>640</v>
      </c>
      <c r="D31" s="17" t="n">
        <v>660</v>
      </c>
      <c r="E31" s="17" t="n">
        <v>690</v>
      </c>
      <c r="F31" s="18" t="s">
        <v>86</v>
      </c>
    </row>
    <row r="32" customFormat="false" ht="15" hidden="false" customHeight="false" outlineLevel="0" collapsed="false">
      <c r="A32" s="19"/>
      <c r="B32" s="19"/>
      <c r="C32" s="19"/>
      <c r="D32" s="19"/>
      <c r="E32" s="19"/>
      <c r="F32" s="19"/>
    </row>
    <row r="33" customFormat="false" ht="15" hidden="false" customHeight="false" outlineLevel="0" collapsed="false">
      <c r="A33" s="13" t="s">
        <v>87</v>
      </c>
      <c r="B33" s="14"/>
      <c r="C33" s="14"/>
      <c r="D33" s="14"/>
      <c r="E33" s="14"/>
      <c r="F33" s="14"/>
    </row>
    <row r="34" customFormat="false" ht="15" hidden="false" customHeight="false" outlineLevel="0" collapsed="false">
      <c r="A34" s="15" t="s">
        <v>88</v>
      </c>
      <c r="B34" s="16"/>
      <c r="C34" s="17" t="n">
        <v>743</v>
      </c>
      <c r="D34" s="17" t="n">
        <v>797</v>
      </c>
      <c r="E34" s="17" t="n">
        <v>581</v>
      </c>
      <c r="F34" s="18" t="s">
        <v>89</v>
      </c>
    </row>
    <row r="35" customFormat="false" ht="15" hidden="false" customHeight="false" outlineLevel="0" collapsed="false">
      <c r="A35" s="15" t="s">
        <v>90</v>
      </c>
      <c r="B35" s="16"/>
      <c r="C35" s="17" t="n">
        <v>-145</v>
      </c>
      <c r="D35" s="17" t="n">
        <v>-258</v>
      </c>
      <c r="E35" s="17" t="n">
        <v>-839</v>
      </c>
      <c r="F35" s="18" t="s">
        <v>91</v>
      </c>
    </row>
    <row r="36" customFormat="false" ht="15" hidden="false" customHeight="false" outlineLevel="0" collapsed="false">
      <c r="A36" s="15" t="s">
        <v>92</v>
      </c>
      <c r="B36" s="16"/>
      <c r="C36" s="17" t="n">
        <v>-112</v>
      </c>
      <c r="D36" s="17" t="n">
        <v>-137</v>
      </c>
      <c r="E36" s="17" t="n">
        <v>-717</v>
      </c>
      <c r="F36" s="18" t="s">
        <v>93</v>
      </c>
    </row>
    <row r="37" customFormat="false" ht="15" hidden="false" customHeight="false" outlineLevel="0" collapsed="false">
      <c r="A37" s="15" t="s">
        <v>94</v>
      </c>
      <c r="B37" s="16"/>
      <c r="C37" s="17" t="n">
        <v>80</v>
      </c>
      <c r="D37" s="17" t="n">
        <v>179</v>
      </c>
      <c r="E37" s="17" t="n">
        <v>666</v>
      </c>
      <c r="F37" s="18" t="s">
        <v>95</v>
      </c>
    </row>
    <row r="38" customFormat="false" ht="15" hidden="false" customHeight="false" outlineLevel="0" collapsed="false">
      <c r="A38" s="15" t="s">
        <v>96</v>
      </c>
      <c r="B38" s="16"/>
      <c r="C38" s="17" t="n">
        <v>-10</v>
      </c>
      <c r="D38" s="17" t="n">
        <v>-15</v>
      </c>
      <c r="E38" s="17" t="n">
        <v>-15</v>
      </c>
      <c r="F38" s="18" t="s">
        <v>97</v>
      </c>
    </row>
    <row r="39" customFormat="false" ht="15" hidden="false" customHeight="false" outlineLevel="0" collapsed="false">
      <c r="A39" s="15" t="s">
        <v>98</v>
      </c>
      <c r="B39" s="16"/>
      <c r="C39" s="17" t="n">
        <v>20</v>
      </c>
      <c r="D39" s="17" t="n">
        <v>20</v>
      </c>
      <c r="E39" s="17" t="n">
        <v>30</v>
      </c>
      <c r="F39" s="18" t="s">
        <v>99</v>
      </c>
    </row>
    <row r="40" customFormat="false" ht="15" hidden="false" customHeight="false" outlineLevel="0" collapsed="false">
      <c r="A40" s="15" t="s">
        <v>100</v>
      </c>
      <c r="B40" s="16"/>
      <c r="C40" s="17" t="n">
        <v>1393</v>
      </c>
      <c r="D40" s="17" t="n">
        <v>1429</v>
      </c>
      <c r="E40" s="17" t="n">
        <v>290</v>
      </c>
      <c r="F40" s="18" t="s">
        <v>101</v>
      </c>
    </row>
    <row r="41" customFormat="false" ht="15" hidden="false" customHeight="false" outlineLevel="0" collapsed="false">
      <c r="A41" s="15" t="s">
        <v>102</v>
      </c>
      <c r="B41" s="16"/>
      <c r="C41" s="17" t="n">
        <v>956</v>
      </c>
      <c r="D41" s="17" t="n">
        <v>986</v>
      </c>
      <c r="E41" s="17" t="n">
        <v>-114</v>
      </c>
      <c r="F41" s="18" t="s">
        <v>103</v>
      </c>
    </row>
    <row r="42" customFormat="false" ht="15" hidden="false" customHeight="false" outlineLevel="0" collapsed="false">
      <c r="A42" s="15" t="s">
        <v>104</v>
      </c>
      <c r="B42" s="16"/>
      <c r="C42" s="17" t="n">
        <v>-420</v>
      </c>
      <c r="D42" s="17" t="n">
        <v>-450</v>
      </c>
      <c r="E42" s="17" t="n">
        <v>-520</v>
      </c>
      <c r="F42" s="18" t="s">
        <v>105</v>
      </c>
    </row>
    <row r="43" customFormat="false" ht="15" hidden="false" customHeight="false" outlineLevel="0" collapsed="false">
      <c r="A43" s="15" t="s">
        <v>106</v>
      </c>
      <c r="B43" s="16"/>
      <c r="C43" s="17" t="n">
        <v>0</v>
      </c>
      <c r="D43" s="17" t="n">
        <v>0</v>
      </c>
      <c r="E43" s="17" t="n">
        <v>600</v>
      </c>
      <c r="F43" s="18" t="s">
        <v>107</v>
      </c>
    </row>
    <row r="44" customFormat="false" ht="15" hidden="false" customHeight="false" outlineLevel="0" collapsed="false">
      <c r="A44" s="15" t="s">
        <v>108</v>
      </c>
      <c r="B44" s="16"/>
      <c r="C44" s="17" t="n">
        <v>0</v>
      </c>
      <c r="D44" s="17" t="n">
        <v>0</v>
      </c>
      <c r="E44" s="17" t="n">
        <v>-250</v>
      </c>
      <c r="F44" s="18" t="s">
        <v>109</v>
      </c>
    </row>
    <row r="45" customFormat="false" ht="15" hidden="false" customHeight="false" outlineLevel="0" collapsed="false">
      <c r="A45" s="15" t="s">
        <v>110</v>
      </c>
      <c r="B45" s="16"/>
      <c r="C45" s="17" t="n">
        <v>650</v>
      </c>
      <c r="D45" s="17" t="n">
        <v>636</v>
      </c>
      <c r="E45" s="17" t="n">
        <v>537</v>
      </c>
      <c r="F45" s="18" t="s">
        <v>111</v>
      </c>
    </row>
    <row r="46" customFormat="false" ht="15" hidden="false" customHeight="false" outlineLevel="0" collapsed="false">
      <c r="A46" s="15" t="s">
        <v>112</v>
      </c>
      <c r="B46" s="16"/>
      <c r="C46" s="17" t="n">
        <v>636</v>
      </c>
      <c r="D46" s="17" t="n">
        <v>622</v>
      </c>
      <c r="E46" s="17" t="n">
        <v>603</v>
      </c>
      <c r="F46" s="18" t="s">
        <v>113</v>
      </c>
    </row>
    <row r="47" customFormat="false" ht="15" hidden="false" customHeight="false" outlineLevel="0" collapsed="false">
      <c r="A47" s="19"/>
      <c r="B47" s="19"/>
      <c r="C47" s="19"/>
      <c r="D47" s="19"/>
      <c r="E47" s="19"/>
      <c r="F47" s="19"/>
    </row>
    <row r="48" customFormat="false" ht="15" hidden="false" customHeight="false" outlineLevel="0" collapsed="false">
      <c r="A48" s="13" t="s">
        <v>114</v>
      </c>
      <c r="B48" s="14"/>
      <c r="C48" s="14"/>
      <c r="D48" s="14"/>
      <c r="E48" s="14"/>
      <c r="F48" s="14"/>
    </row>
    <row r="49" customFormat="false" ht="15" hidden="false" customHeight="false" outlineLevel="0" collapsed="false">
      <c r="A49" s="21" t="s">
        <v>115</v>
      </c>
      <c r="B49" s="16"/>
      <c r="C49" s="17" t="n">
        <v>2760</v>
      </c>
      <c r="D49" s="17" t="n">
        <v>3530</v>
      </c>
      <c r="E49" s="17" t="n">
        <v>5100</v>
      </c>
      <c r="F49" s="19" t="s">
        <v>116</v>
      </c>
    </row>
    <row r="50" customFormat="false" ht="15" hidden="false" customHeight="false" outlineLevel="0" collapsed="false">
      <c r="A50" s="21" t="s">
        <v>117</v>
      </c>
      <c r="B50" s="16"/>
      <c r="C50" s="17" t="n">
        <v>1470</v>
      </c>
      <c r="D50" s="17" t="n">
        <v>1520</v>
      </c>
      <c r="E50" s="17" t="n">
        <v>1490</v>
      </c>
      <c r="F50" s="19" t="s">
        <v>118</v>
      </c>
    </row>
    <row r="51" customFormat="false" ht="15" hidden="false" customHeight="false" outlineLevel="0" collapsed="false">
      <c r="A51" s="21" t="s">
        <v>119</v>
      </c>
      <c r="B51" s="16"/>
      <c r="C51" s="17" t="n">
        <v>1290</v>
      </c>
      <c r="D51" s="17" t="n">
        <v>1310</v>
      </c>
      <c r="E51" s="17" t="n">
        <v>1280</v>
      </c>
      <c r="F51" s="19" t="s">
        <v>120</v>
      </c>
    </row>
    <row r="52" customFormat="false" ht="15" hidden="false" customHeight="false" outlineLevel="0" collapsed="false">
      <c r="A52" s="21" t="s">
        <v>121</v>
      </c>
      <c r="B52" s="16"/>
      <c r="C52" s="17" t="n">
        <v>1100</v>
      </c>
      <c r="D52" s="17" t="n">
        <v>1080</v>
      </c>
      <c r="E52" s="17" t="n">
        <v>1050</v>
      </c>
      <c r="F52" s="19" t="s">
        <v>122</v>
      </c>
    </row>
    <row r="53" customFormat="false" ht="15" hidden="false" customHeight="false" outlineLevel="0" collapsed="false">
      <c r="A53" s="21" t="s">
        <v>123</v>
      </c>
      <c r="B53" s="16"/>
      <c r="C53" s="17" t="n">
        <v>920</v>
      </c>
      <c r="D53" s="17" t="n">
        <v>950</v>
      </c>
      <c r="E53" s="17" t="n">
        <v>970</v>
      </c>
      <c r="F53" s="19" t="s">
        <v>124</v>
      </c>
    </row>
    <row r="54" customFormat="false" ht="15" hidden="false" customHeight="false" outlineLevel="0" collapsed="false">
      <c r="A54" s="21" t="s">
        <v>125</v>
      </c>
      <c r="B54" s="16"/>
      <c r="C54" s="17" t="n">
        <v>830</v>
      </c>
      <c r="D54" s="17" t="n">
        <v>860</v>
      </c>
      <c r="E54" s="17" t="n">
        <v>840</v>
      </c>
      <c r="F54" s="19" t="s">
        <v>126</v>
      </c>
    </row>
    <row r="55" customFormat="false" ht="15" hidden="false" customHeight="false" outlineLevel="0" collapsed="false">
      <c r="A55" s="21" t="s">
        <v>127</v>
      </c>
      <c r="B55" s="16"/>
      <c r="C55" s="17" t="n">
        <v>740</v>
      </c>
      <c r="D55" s="17" t="n">
        <v>760</v>
      </c>
      <c r="E55" s="17" t="n">
        <v>780</v>
      </c>
      <c r="F55" s="19" t="s">
        <v>128</v>
      </c>
    </row>
    <row r="56" customFormat="false" ht="15" hidden="false" customHeight="false" outlineLevel="0" collapsed="false">
      <c r="A56" s="21" t="s">
        <v>129</v>
      </c>
      <c r="B56" s="16"/>
      <c r="C56" s="17" t="n">
        <v>640</v>
      </c>
      <c r="D56" s="17" t="n">
        <v>620</v>
      </c>
      <c r="E56" s="17" t="n">
        <v>600</v>
      </c>
      <c r="F56" s="19" t="s">
        <v>130</v>
      </c>
    </row>
    <row r="57" customFormat="false" ht="15" hidden="false" customHeight="false" outlineLevel="0" collapsed="false">
      <c r="A57" s="21" t="s">
        <v>131</v>
      </c>
      <c r="B57" s="16"/>
      <c r="C57" s="17" t="n">
        <v>550</v>
      </c>
      <c r="D57" s="17" t="n">
        <v>580</v>
      </c>
      <c r="E57" s="17" t="n">
        <v>590</v>
      </c>
      <c r="F57" s="19" t="s">
        <v>132</v>
      </c>
    </row>
    <row r="58" customFormat="false" ht="15" hidden="false" customHeight="false" outlineLevel="0" collapsed="false">
      <c r="A58" s="21" t="s">
        <v>133</v>
      </c>
      <c r="B58" s="16"/>
      <c r="C58" s="17" t="n">
        <v>0</v>
      </c>
      <c r="D58" s="17" t="n">
        <v>0</v>
      </c>
      <c r="E58" s="17" t="n">
        <v>1300</v>
      </c>
      <c r="F58" s="19" t="s">
        <v>134</v>
      </c>
    </row>
    <row r="59" customFormat="false" ht="15" hidden="false" customHeight="false" outlineLevel="0" collapsed="false">
      <c r="A59" s="21"/>
      <c r="B59" s="16"/>
      <c r="C59" s="17"/>
      <c r="D59" s="17"/>
      <c r="E59" s="17"/>
      <c r="F59" s="19" t="s">
        <v>135</v>
      </c>
    </row>
    <row r="60" customFormat="false" ht="15" hidden="false" customHeight="false" outlineLevel="0" collapsed="false">
      <c r="A60" s="21"/>
      <c r="B60" s="16"/>
      <c r="C60" s="17"/>
      <c r="D60" s="17"/>
      <c r="E60" s="17"/>
      <c r="F60" s="19" t="s">
        <v>135</v>
      </c>
    </row>
    <row r="61" customFormat="false" ht="15" hidden="false" customHeight="false" outlineLevel="0" collapsed="false">
      <c r="A61" s="20" t="s">
        <v>136</v>
      </c>
      <c r="B61" s="16"/>
      <c r="C61" s="17" t="n">
        <v>8100</v>
      </c>
      <c r="D61" s="17" t="n">
        <v>8390</v>
      </c>
      <c r="E61" s="17" t="n">
        <v>7400</v>
      </c>
      <c r="F61" s="19" t="s">
        <v>137</v>
      </c>
    </row>
    <row r="62" customFormat="false" ht="15" hidden="false" customHeight="false" outlineLevel="0" collapsed="false">
      <c r="A62" s="19"/>
      <c r="B62" s="19"/>
      <c r="C62" s="19"/>
      <c r="D62" s="19"/>
      <c r="E62" s="19"/>
      <c r="F62" s="19"/>
    </row>
    <row r="63" customFormat="false" ht="15" hidden="false" customHeight="false" outlineLevel="0" collapsed="false">
      <c r="A63" s="13" t="s">
        <v>138</v>
      </c>
      <c r="B63" s="14"/>
      <c r="C63" s="14"/>
      <c r="D63" s="14"/>
      <c r="E63" s="14"/>
      <c r="F63" s="14"/>
    </row>
    <row r="64" customFormat="false" ht="15" hidden="false" customHeight="false" outlineLevel="0" collapsed="false">
      <c r="A64" s="21" t="s">
        <v>139</v>
      </c>
      <c r="B64" s="16"/>
      <c r="C64" s="17" t="n">
        <v>90</v>
      </c>
      <c r="D64" s="17" t="n">
        <v>110</v>
      </c>
      <c r="E64" s="17" t="n">
        <v>140</v>
      </c>
      <c r="F64" s="19" t="s">
        <v>140</v>
      </c>
    </row>
    <row r="65" customFormat="false" ht="15" hidden="false" customHeight="false" outlineLevel="0" collapsed="false">
      <c r="A65" s="21" t="s">
        <v>141</v>
      </c>
      <c r="B65" s="16"/>
      <c r="C65" s="17" t="n">
        <v>0</v>
      </c>
      <c r="D65" s="17" t="n">
        <v>45</v>
      </c>
      <c r="E65" s="17" t="n">
        <v>85</v>
      </c>
      <c r="F65" s="19" t="s">
        <v>142</v>
      </c>
    </row>
    <row r="66" customFormat="false" ht="15" hidden="false" customHeight="false" outlineLevel="0" collapsed="false">
      <c r="A66" s="21" t="s">
        <v>143</v>
      </c>
      <c r="B66" s="16"/>
      <c r="C66" s="17" t="n">
        <v>0</v>
      </c>
      <c r="D66" s="17" t="n">
        <v>0</v>
      </c>
      <c r="E66" s="17" t="n">
        <v>160</v>
      </c>
      <c r="F66" s="19" t="s">
        <v>144</v>
      </c>
    </row>
    <row r="67" customFormat="false" ht="15" hidden="false" customHeight="false" outlineLevel="0" collapsed="false">
      <c r="A67" s="21" t="s">
        <v>145</v>
      </c>
      <c r="B67" s="16"/>
      <c r="C67" s="17" t="n">
        <v>0</v>
      </c>
      <c r="D67" s="17" t="n">
        <v>0</v>
      </c>
      <c r="E67" s="17" t="n">
        <v>70</v>
      </c>
      <c r="F67" s="19" t="s">
        <v>146</v>
      </c>
    </row>
    <row r="68" customFormat="false" ht="15" hidden="false" customHeight="false" outlineLevel="0" collapsed="false">
      <c r="A68" s="21"/>
      <c r="B68" s="16"/>
      <c r="C68" s="17"/>
      <c r="D68" s="17"/>
      <c r="E68" s="17"/>
      <c r="F68" s="19" t="s">
        <v>135</v>
      </c>
    </row>
    <row r="69" customFormat="false" ht="15" hidden="false" customHeight="false" outlineLevel="0" collapsed="false">
      <c r="A69" s="19"/>
      <c r="B69" s="19"/>
      <c r="C69" s="19"/>
      <c r="D69" s="19"/>
      <c r="E69" s="19"/>
      <c r="F69" s="19"/>
    </row>
    <row r="70" customFormat="false" ht="15" hidden="false" customHeight="false" outlineLevel="0" collapsed="false">
      <c r="A70" s="13" t="s">
        <v>147</v>
      </c>
      <c r="B70" s="14"/>
      <c r="C70" s="14"/>
      <c r="D70" s="14"/>
      <c r="E70" s="14"/>
      <c r="F70" s="14"/>
    </row>
    <row r="71" customFormat="false" ht="15" hidden="false" customHeight="false" outlineLevel="0" collapsed="false">
      <c r="A71" s="20" t="s">
        <v>148</v>
      </c>
      <c r="B71" s="16"/>
      <c r="C71" s="16"/>
      <c r="D71" s="16"/>
      <c r="E71" s="17" t="n">
        <v>4350</v>
      </c>
      <c r="F71" s="19" t="s">
        <v>149</v>
      </c>
    </row>
    <row r="72" customFormat="false" ht="15" hidden="false" customHeight="false" outlineLevel="0" collapsed="false">
      <c r="A72" s="20" t="s">
        <v>150</v>
      </c>
      <c r="B72" s="16"/>
      <c r="C72" s="16"/>
      <c r="D72" s="16"/>
      <c r="E72" s="17" t="n">
        <v>2400</v>
      </c>
      <c r="F72" s="19" t="s">
        <v>151</v>
      </c>
    </row>
    <row r="73" customFormat="false" ht="15" hidden="false" customHeight="false" outlineLevel="0" collapsed="false">
      <c r="A73" s="20" t="s">
        <v>152</v>
      </c>
      <c r="B73" s="16"/>
      <c r="C73" s="16"/>
      <c r="D73" s="16"/>
      <c r="E73" s="22" t="n">
        <v>3</v>
      </c>
      <c r="F73" s="19" t="s">
        <v>153</v>
      </c>
    </row>
    <row r="74" customFormat="false" ht="15" hidden="false" customHeight="false" outlineLevel="0" collapsed="false">
      <c r="A74" s="19"/>
      <c r="B74" s="19"/>
      <c r="C74" s="19"/>
      <c r="D74" s="19"/>
      <c r="E74" s="19"/>
      <c r="F74" s="19"/>
    </row>
    <row r="75" customFormat="false" ht="15" hidden="false" customHeight="false" outlineLevel="0" collapsed="false">
      <c r="A75" s="13" t="s">
        <v>154</v>
      </c>
      <c r="B75" s="14"/>
      <c r="C75" s="14"/>
      <c r="D75" s="14"/>
      <c r="E75" s="14"/>
      <c r="F75" s="14"/>
    </row>
    <row r="76" customFormat="false" ht="15" hidden="false" customHeight="false" outlineLevel="0" collapsed="false">
      <c r="A76" s="20" t="s">
        <v>155</v>
      </c>
      <c r="B76" s="23" t="s">
        <v>156</v>
      </c>
      <c r="C76" s="19"/>
      <c r="D76" s="19"/>
      <c r="E76" s="19"/>
      <c r="F76" s="19"/>
    </row>
    <row r="77" customFormat="false" ht="15" hidden="false" customHeight="false" outlineLevel="0" collapsed="false">
      <c r="A77" s="20" t="s">
        <v>157</v>
      </c>
      <c r="B77" s="23" t="s">
        <v>156</v>
      </c>
      <c r="C77" s="19"/>
      <c r="D77" s="19"/>
      <c r="E77" s="19"/>
      <c r="F77" s="19"/>
    </row>
    <row r="78" customFormat="false" ht="15" hidden="false" customHeight="false" outlineLevel="0" collapsed="false">
      <c r="A78" s="20" t="s">
        <v>87</v>
      </c>
      <c r="B78" s="23" t="s">
        <v>156</v>
      </c>
      <c r="C78" s="19"/>
      <c r="D78" s="19"/>
      <c r="E78" s="19"/>
      <c r="F78" s="19"/>
    </row>
    <row r="79" customFormat="false" ht="15" hidden="false" customHeight="false" outlineLevel="0" collapsed="false">
      <c r="A79" s="20" t="s">
        <v>158</v>
      </c>
      <c r="B79" s="23" t="s">
        <v>156</v>
      </c>
      <c r="C79" s="19"/>
      <c r="D79" s="19"/>
      <c r="E79" s="19"/>
      <c r="F79" s="19"/>
    </row>
    <row r="80" customFormat="false" ht="15" hidden="false" customHeight="false" outlineLevel="0" collapsed="false">
      <c r="A80" s="20" t="s">
        <v>159</v>
      </c>
      <c r="B80" s="23" t="s">
        <v>160</v>
      </c>
      <c r="C80" s="19"/>
      <c r="D80" s="19"/>
      <c r="E80" s="19"/>
      <c r="F80" s="19"/>
    </row>
    <row r="81" customFormat="false" ht="15" hidden="false" customHeight="false" outlineLevel="0" collapsed="false">
      <c r="A81" s="20" t="s">
        <v>161</v>
      </c>
      <c r="B81" s="23" t="s">
        <v>160</v>
      </c>
      <c r="C81" s="19"/>
      <c r="D81" s="19"/>
      <c r="E81" s="19"/>
      <c r="F81" s="19"/>
    </row>
    <row r="82" customFormat="false" ht="15" hidden="false" customHeight="false" outlineLevel="0" collapsed="false">
      <c r="A82" s="20" t="s">
        <v>162</v>
      </c>
      <c r="B82" s="23" t="s">
        <v>160</v>
      </c>
      <c r="C82" s="19"/>
      <c r="D82" s="19"/>
      <c r="E82" s="19"/>
      <c r="F82" s="19"/>
    </row>
    <row r="83" customFormat="false" ht="15" hidden="false" customHeight="false" outlineLevel="0" collapsed="false">
      <c r="A83" s="20" t="s">
        <v>163</v>
      </c>
      <c r="B83" s="23" t="s">
        <v>160</v>
      </c>
      <c r="C83" s="19"/>
      <c r="D83" s="19"/>
      <c r="E83" s="19"/>
      <c r="F83" s="19"/>
    </row>
    <row r="84" customFormat="false" ht="15" hidden="false" customHeight="false" outlineLevel="0" collapsed="false">
      <c r="A84" s="20" t="s">
        <v>164</v>
      </c>
      <c r="B84" s="23" t="s">
        <v>156</v>
      </c>
      <c r="C84" s="19"/>
      <c r="D84" s="19"/>
      <c r="E84" s="19"/>
      <c r="F84" s="19"/>
    </row>
    <row r="85" customFormat="false" ht="15" hidden="false" customHeight="false" outlineLevel="0" collapsed="false">
      <c r="A85" s="20" t="s">
        <v>165</v>
      </c>
      <c r="B85" s="23" t="s">
        <v>160</v>
      </c>
      <c r="C85" s="19"/>
      <c r="D85" s="19"/>
      <c r="E85" s="19"/>
      <c r="F85" s="19"/>
    </row>
    <row r="86" customFormat="false" ht="15" hidden="false" customHeight="false" outlineLevel="0" collapsed="false">
      <c r="A86" s="19"/>
      <c r="B86" s="19"/>
      <c r="C86" s="19"/>
      <c r="D86" s="19"/>
      <c r="E86" s="19"/>
      <c r="F86" s="19"/>
    </row>
  </sheetData>
  <dataValidations count="1">
    <dataValidation allowBlank="false" errorStyle="stop" operator="between" showDropDown="false" showErrorMessage="false" showInputMessage="false" sqref="B76:B85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5" min="2" style="0" width="11"/>
    <col collapsed="false" customWidth="true" hidden="false" outlineLevel="0" max="6" min="6" style="0" width="62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15" hidden="false" customHeight="false" outlineLevel="0" collapsed="false">
      <c r="A4" s="7" t="s">
        <v>168</v>
      </c>
      <c r="B4" s="8" t="s">
        <v>33</v>
      </c>
      <c r="C4" s="8" t="s">
        <v>34</v>
      </c>
      <c r="D4" s="8" t="s">
        <v>35</v>
      </c>
      <c r="E4" s="8" t="s">
        <v>36</v>
      </c>
      <c r="F4" s="8" t="s">
        <v>169</v>
      </c>
    </row>
    <row r="5" customFormat="false" ht="15" hidden="false" customHeight="false" outlineLevel="0" collapsed="false">
      <c r="A5" s="13" t="s">
        <v>170</v>
      </c>
      <c r="B5" s="24"/>
      <c r="C5" s="24"/>
      <c r="D5" s="24"/>
      <c r="E5" s="24"/>
      <c r="F5" s="24"/>
    </row>
    <row r="6" customFormat="false" ht="15" hidden="false" customHeight="false" outlineLevel="0" collapsed="false">
      <c r="A6" s="15" t="s">
        <v>171</v>
      </c>
      <c r="B6" s="18"/>
      <c r="C6" s="25" t="n">
        <f aca="false">Input!C6</f>
        <v>18400</v>
      </c>
      <c r="D6" s="25" t="n">
        <f aca="false">Input!D6</f>
        <v>19600</v>
      </c>
      <c r="E6" s="25" t="n">
        <f aca="false">Input!E6</f>
        <v>21400</v>
      </c>
      <c r="F6" s="2" t="s">
        <v>172</v>
      </c>
    </row>
    <row r="7" customFormat="false" ht="15" hidden="false" customHeight="false" outlineLevel="0" collapsed="false">
      <c r="A7" s="15" t="s">
        <v>173</v>
      </c>
      <c r="B7" s="18"/>
      <c r="C7" s="26" t="s">
        <v>174</v>
      </c>
      <c r="D7" s="27" t="n">
        <f aca="false">D6/C6-1</f>
        <v>0.0652173913043479</v>
      </c>
      <c r="E7" s="27" t="n">
        <f aca="false">E6/D6-1</f>
        <v>0.0918367346938775</v>
      </c>
      <c r="F7" s="2" t="s">
        <v>175</v>
      </c>
    </row>
    <row r="8" customFormat="false" ht="15" hidden="false" customHeight="false" outlineLevel="0" collapsed="false">
      <c r="A8" s="15" t="s">
        <v>176</v>
      </c>
      <c r="B8" s="18"/>
      <c r="C8" s="26" t="s">
        <v>174</v>
      </c>
      <c r="D8" s="25" t="n">
        <f aca="false">SUM(D69:D80)</f>
        <v>0</v>
      </c>
      <c r="E8" s="25" t="n">
        <f aca="false">SUM(E69:E80)</f>
        <v>1300</v>
      </c>
      <c r="F8" s="2" t="s">
        <v>177</v>
      </c>
    </row>
    <row r="9" customFormat="false" ht="15" hidden="false" customHeight="false" outlineLevel="0" collapsed="false">
      <c r="A9" s="15" t="s">
        <v>178</v>
      </c>
      <c r="B9" s="18"/>
      <c r="C9" s="26" t="s">
        <v>174</v>
      </c>
      <c r="D9" s="27" t="n">
        <f aca="false">D8/D6</f>
        <v>0</v>
      </c>
      <c r="E9" s="27" t="n">
        <f aca="false">E8/E6</f>
        <v>0.0607476635514019</v>
      </c>
      <c r="F9" s="2" t="s">
        <v>179</v>
      </c>
    </row>
    <row r="10" customFormat="false" ht="15" hidden="false" customHeight="false" outlineLevel="0" collapsed="false">
      <c r="A10" s="15" t="s">
        <v>180</v>
      </c>
      <c r="B10" s="18"/>
      <c r="C10" s="26" t="s">
        <v>174</v>
      </c>
      <c r="D10" s="28" t="str">
        <f aca="false">IF(D8=0,"—",INDEX($A$69:$A$80,MATCH(MAX(D69:D80),D69:D80,0)))</f>
        <v>—</v>
      </c>
      <c r="E10" s="28" t="str">
        <f aca="false">IF(E8=0,"—",INDEX($A$69:$A$80,MATCH(MAX(E69:E80),E69:E80,0)))</f>
        <v>Cliente K</v>
      </c>
      <c r="F10" s="2" t="s">
        <v>181</v>
      </c>
    </row>
    <row r="11" customFormat="false" ht="15" hidden="false" customHeight="false" outlineLevel="0" collapsed="false">
      <c r="A11" s="15" t="s">
        <v>182</v>
      </c>
      <c r="B11" s="18"/>
      <c r="C11" s="26" t="s">
        <v>174</v>
      </c>
      <c r="D11" s="27" t="n">
        <f aca="false">(D6-D8)/C6-1</f>
        <v>0.0652173913043479</v>
      </c>
      <c r="E11" s="27" t="n">
        <f aca="false">(E6-E8)/D6-1</f>
        <v>0.0255102040816326</v>
      </c>
      <c r="F11" s="2" t="s">
        <v>183</v>
      </c>
    </row>
    <row r="12" customFormat="false" ht="15" hidden="false" customHeight="false" outlineLevel="0" collapsed="false">
      <c r="A12" s="15" t="s">
        <v>184</v>
      </c>
      <c r="B12" s="18"/>
      <c r="C12" s="27" t="n">
        <f aca="false">MAX(Input!C49:C60)/C6</f>
        <v>0.15</v>
      </c>
      <c r="D12" s="27" t="n">
        <f aca="false">MAX(Input!D49:D60)/D6</f>
        <v>0.180102040816327</v>
      </c>
      <c r="E12" s="27" t="n">
        <f aca="false">MAX(Input!E49:E60)/E6</f>
        <v>0.238317757009346</v>
      </c>
      <c r="F12" s="2" t="s">
        <v>185</v>
      </c>
    </row>
    <row r="13" customFormat="false" ht="15" hidden="false" customHeight="false" outlineLevel="0" collapsed="false">
      <c r="A13" s="15" t="s">
        <v>186</v>
      </c>
      <c r="B13" s="18"/>
      <c r="C13" s="28" t="str">
        <f aca="false">INDEX(Input!$A$49:$A$60,MATCH(MAX(Input!C49:C60),Input!C49:C60,0))</f>
        <v>Cliente A</v>
      </c>
      <c r="D13" s="28" t="str">
        <f aca="false">INDEX(Input!$A$49:$A$60,MATCH(MAX(Input!D49:D60),Input!D49:D60,0))</f>
        <v>Cliente A</v>
      </c>
      <c r="E13" s="28" t="str">
        <f aca="false">INDEX(Input!$A$49:$A$60,MATCH(MAX(Input!E49:E60),Input!E49:E60,0))</f>
        <v>Cliente A</v>
      </c>
      <c r="F13" s="2" t="s">
        <v>187</v>
      </c>
    </row>
    <row r="14" customFormat="false" ht="15" hidden="false" customHeight="false" outlineLevel="0" collapsed="false">
      <c r="A14" s="15" t="s">
        <v>188</v>
      </c>
      <c r="B14" s="18"/>
      <c r="C14" s="25" t="n">
        <f aca="false">C6-MAX(Input!C49:C60)</f>
        <v>15640</v>
      </c>
      <c r="D14" s="25" t="n">
        <f aca="false">D6-MAX(Input!D49:D60)-D8</f>
        <v>16070</v>
      </c>
      <c r="E14" s="25" t="n">
        <f aca="false">E6-MAX(Input!E49:E60)-E8</f>
        <v>15000</v>
      </c>
      <c r="F14" s="2" t="s">
        <v>189</v>
      </c>
    </row>
    <row r="15" customFormat="false" ht="15" hidden="false" customHeight="false" outlineLevel="0" collapsed="false">
      <c r="A15" s="15" t="s">
        <v>190</v>
      </c>
      <c r="B15" s="18"/>
      <c r="C15" s="26" t="s">
        <v>174</v>
      </c>
      <c r="D15" s="27" t="n">
        <f aca="false">D14/C14-1</f>
        <v>0.0274936061381075</v>
      </c>
      <c r="E15" s="27" t="n">
        <f aca="false">E14/D14-1</f>
        <v>-0.0665836963285625</v>
      </c>
      <c r="F15" s="2" t="s">
        <v>191</v>
      </c>
    </row>
    <row r="16" customFormat="false" ht="15" hidden="false" customHeight="false" outlineLevel="0" collapsed="false">
      <c r="A16" s="13" t="s">
        <v>192</v>
      </c>
      <c r="B16" s="24"/>
      <c r="C16" s="24"/>
      <c r="D16" s="24"/>
      <c r="E16" s="24"/>
      <c r="F16" s="24"/>
    </row>
    <row r="17" customFormat="false" ht="15" hidden="false" customHeight="false" outlineLevel="0" collapsed="false">
      <c r="A17" s="15" t="s">
        <v>193</v>
      </c>
      <c r="B17" s="18"/>
      <c r="C17" s="27" t="n">
        <f aca="false">(Input!C6+Input!C7)/C6</f>
        <v>0.285869565217391</v>
      </c>
      <c r="D17" s="27" t="n">
        <f aca="false">(Input!D6+Input!D7)/D6</f>
        <v>0.282142857142857</v>
      </c>
      <c r="E17" s="27" t="n">
        <f aca="false">(Input!E6+Input!E7)/E6</f>
        <v>0.247196261682243</v>
      </c>
      <c r="F17" s="2" t="s">
        <v>194</v>
      </c>
    </row>
    <row r="18" customFormat="false" ht="15" hidden="false" customHeight="false" outlineLevel="0" collapsed="false">
      <c r="A18" s="15" t="s">
        <v>195</v>
      </c>
      <c r="B18" s="18"/>
      <c r="C18" s="26" t="s">
        <v>174</v>
      </c>
      <c r="D18" s="29" t="n">
        <f aca="false">(D17-C17)*100</f>
        <v>-0.372670807453418</v>
      </c>
      <c r="E18" s="29" t="n">
        <f aca="false">(E17-D17)*100</f>
        <v>-3.49465954606142</v>
      </c>
      <c r="F18" s="2" t="s">
        <v>196</v>
      </c>
    </row>
    <row r="19" customFormat="false" ht="15" hidden="false" customHeight="false" outlineLevel="0" collapsed="false">
      <c r="A19" s="15" t="s">
        <v>197</v>
      </c>
      <c r="B19" s="18"/>
      <c r="C19" s="25" t="n">
        <f aca="false">SUM(Input!C6:C12)</f>
        <v>1560</v>
      </c>
      <c r="D19" s="25" t="n">
        <f aca="false">SUM(Input!D6:D12)</f>
        <v>1640</v>
      </c>
      <c r="E19" s="25" t="n">
        <f aca="false">SUM(Input!E6:E12)</f>
        <v>1415</v>
      </c>
      <c r="F19" s="2" t="s">
        <v>198</v>
      </c>
    </row>
    <row r="20" customFormat="false" ht="15" hidden="false" customHeight="false" outlineLevel="0" collapsed="false">
      <c r="A20" s="15" t="s">
        <v>199</v>
      </c>
      <c r="B20" s="18"/>
      <c r="C20" s="27" t="n">
        <f aca="false">C19/C6</f>
        <v>0.0847826086956522</v>
      </c>
      <c r="D20" s="27" t="n">
        <f aca="false">D19/D6</f>
        <v>0.0836734693877551</v>
      </c>
      <c r="E20" s="27" t="n">
        <f aca="false">E19/E6</f>
        <v>0.0661214953271028</v>
      </c>
      <c r="F20" s="2" t="s">
        <v>200</v>
      </c>
    </row>
    <row r="21" customFormat="false" ht="15" hidden="false" customHeight="false" outlineLevel="0" collapsed="false">
      <c r="A21" s="15" t="s">
        <v>201</v>
      </c>
      <c r="B21" s="18"/>
      <c r="C21" s="27" t="n">
        <f aca="false">Input!C11/C6</f>
        <v>0.00244565217391304</v>
      </c>
      <c r="D21" s="27" t="n">
        <f aca="false">Input!D11/D6</f>
        <v>0.00255102040816327</v>
      </c>
      <c r="E21" s="27" t="n">
        <f aca="false">Input!E11/E6</f>
        <v>0.0144859813084112</v>
      </c>
      <c r="F21" s="2" t="s">
        <v>202</v>
      </c>
    </row>
    <row r="22" customFormat="false" ht="15" hidden="false" customHeight="false" outlineLevel="0" collapsed="false">
      <c r="A22" s="15" t="s">
        <v>203</v>
      </c>
      <c r="B22" s="18"/>
      <c r="C22" s="26" t="s">
        <v>174</v>
      </c>
      <c r="D22" s="27" t="n">
        <f aca="false">IF(Input!C11=0,"n.d.",Input!D11/Input!C11-1)</f>
        <v>0.111111111111111</v>
      </c>
      <c r="E22" s="27" t="n">
        <f aca="false">IF(Input!D11=0,"n.d.",Input!E11/Input!D11-1)</f>
        <v>5.2</v>
      </c>
      <c r="F22" s="2" t="s">
        <v>204</v>
      </c>
    </row>
    <row r="23" customFormat="false" ht="15" hidden="false" customHeight="false" outlineLevel="0" collapsed="false">
      <c r="A23" s="15" t="s">
        <v>205</v>
      </c>
      <c r="B23" s="18"/>
      <c r="C23" s="25" t="n">
        <f aca="false">-Input!C44</f>
        <v>-0</v>
      </c>
      <c r="D23" s="25" t="n">
        <f aca="false">-Input!D44</f>
        <v>-0</v>
      </c>
      <c r="E23" s="25" t="n">
        <f aca="false">-Input!E44</f>
        <v>250</v>
      </c>
      <c r="F23" s="2" t="s">
        <v>206</v>
      </c>
    </row>
    <row r="24" customFormat="false" ht="15" hidden="false" customHeight="false" outlineLevel="0" collapsed="false">
      <c r="A24" s="15" t="s">
        <v>207</v>
      </c>
      <c r="B24" s="18"/>
      <c r="C24" s="27" t="n">
        <f aca="false">IF(C19&lt;=0,"n.d.",C23/C19)</f>
        <v>-0</v>
      </c>
      <c r="D24" s="27" t="n">
        <f aca="false">IF(D19&lt;=0,"n.d.",D23/D19)</f>
        <v>-0</v>
      </c>
      <c r="E24" s="27" t="n">
        <f aca="false">IF(E19&lt;=0,"n.d.",E23/E19)</f>
        <v>0.176678445229682</v>
      </c>
      <c r="F24" s="2" t="s">
        <v>208</v>
      </c>
    </row>
    <row r="25" customFormat="false" ht="15" hidden="false" customHeight="false" outlineLevel="0" collapsed="false">
      <c r="A25" s="15" t="s">
        <v>209</v>
      </c>
      <c r="B25" s="18"/>
      <c r="C25" s="25" t="n">
        <f aca="false">C19-C23</f>
        <v>1560</v>
      </c>
      <c r="D25" s="25" t="n">
        <f aca="false">D19-D23</f>
        <v>1640</v>
      </c>
      <c r="E25" s="25" t="n">
        <f aca="false">E19-E23</f>
        <v>1165</v>
      </c>
      <c r="F25" s="2" t="s">
        <v>210</v>
      </c>
    </row>
    <row r="26" customFormat="false" ht="15" hidden="false" customHeight="false" outlineLevel="0" collapsed="false">
      <c r="A26" s="15" t="s">
        <v>211</v>
      </c>
      <c r="B26" s="18"/>
      <c r="C26" s="25" t="n">
        <f aca="false">SUM(Input!C64:C68)</f>
        <v>90</v>
      </c>
      <c r="D26" s="25" t="n">
        <f aca="false">SUM(Input!D64:D68)</f>
        <v>155</v>
      </c>
      <c r="E26" s="25" t="n">
        <f aca="false">SUM(Input!E64:E68)</f>
        <v>455</v>
      </c>
      <c r="F26" s="2" t="s">
        <v>212</v>
      </c>
    </row>
    <row r="27" customFormat="false" ht="15" hidden="false" customHeight="false" outlineLevel="0" collapsed="false">
      <c r="A27" s="15" t="s">
        <v>213</v>
      </c>
      <c r="B27" s="18"/>
      <c r="C27" s="25" t="n">
        <f aca="false">C19+C26</f>
        <v>1650</v>
      </c>
      <c r="D27" s="25" t="n">
        <f aca="false">D19+D26</f>
        <v>1795</v>
      </c>
      <c r="E27" s="25" t="n">
        <f aca="false">E19+E26</f>
        <v>1870</v>
      </c>
      <c r="F27" s="2" t="s">
        <v>214</v>
      </c>
    </row>
    <row r="28" customFormat="false" ht="15" hidden="false" customHeight="false" outlineLevel="0" collapsed="false">
      <c r="A28" s="15" t="s">
        <v>215</v>
      </c>
      <c r="B28" s="18"/>
      <c r="C28" s="27" t="n">
        <f aca="false">IF(C19&lt;=0,"n.d.",C26/C19)</f>
        <v>0.0576923076923077</v>
      </c>
      <c r="D28" s="27" t="n">
        <f aca="false">IF(D19&lt;=0,"n.d.",D26/D19)</f>
        <v>0.0945121951219512</v>
      </c>
      <c r="E28" s="27" t="n">
        <f aca="false">IF(E19&lt;=0,"n.d.",E26/E19)</f>
        <v>0.321554770318021</v>
      </c>
      <c r="F28" s="2" t="s">
        <v>216</v>
      </c>
    </row>
    <row r="29" customFormat="false" ht="15" hidden="false" customHeight="false" outlineLevel="0" collapsed="false">
      <c r="A29" s="15" t="s">
        <v>217</v>
      </c>
      <c r="B29" s="18"/>
      <c r="C29" s="26" t="s">
        <v>174</v>
      </c>
      <c r="D29" s="26" t="s">
        <v>174</v>
      </c>
      <c r="E29" s="30" t="n">
        <f aca="false">SUM(E83:E87)</f>
        <v>1</v>
      </c>
      <c r="F29" s="2" t="s">
        <v>218</v>
      </c>
    </row>
    <row r="30" customFormat="false" ht="15" hidden="false" customHeight="false" outlineLevel="0" collapsed="false">
      <c r="A30" s="15" t="s">
        <v>219</v>
      </c>
      <c r="B30" s="18"/>
      <c r="C30" s="26" t="s">
        <v>174</v>
      </c>
      <c r="D30" s="26" t="s">
        <v>174</v>
      </c>
      <c r="E30" s="28" t="str">
        <f aca="false">IF(E29=0,"—",INDEX($A$83:$A$87,MATCH(1,E83:E87,0)))</f>
        <v>Custos de reestruturação</v>
      </c>
      <c r="F30" s="2" t="s">
        <v>220</v>
      </c>
    </row>
    <row r="31" customFormat="false" ht="15" hidden="false" customHeight="false" outlineLevel="0" collapsed="false">
      <c r="A31" s="13" t="s">
        <v>221</v>
      </c>
      <c r="B31" s="24"/>
      <c r="C31" s="24"/>
      <c r="D31" s="24"/>
      <c r="E31" s="24"/>
      <c r="F31" s="24"/>
    </row>
    <row r="32" customFormat="false" ht="15" hidden="false" customHeight="false" outlineLevel="0" collapsed="false">
      <c r="A32" s="15" t="s">
        <v>222</v>
      </c>
      <c r="B32" s="18"/>
      <c r="C32" s="27" t="n">
        <f aca="false">Input!C22/Input!B22-1</f>
        <v>0.0486577181208054</v>
      </c>
      <c r="D32" s="27" t="n">
        <f aca="false">Input!D22/Input!C22-1</f>
        <v>0.08256</v>
      </c>
      <c r="E32" s="27" t="n">
        <f aca="false">Input!E22/Input!D22-1</f>
        <v>0.248004729530003</v>
      </c>
      <c r="F32" s="2" t="s">
        <v>223</v>
      </c>
    </row>
    <row r="33" customFormat="false" ht="15" hidden="false" customHeight="false" outlineLevel="0" collapsed="false">
      <c r="A33" s="15" t="s">
        <v>224</v>
      </c>
      <c r="B33" s="18"/>
      <c r="C33" s="26" t="s">
        <v>174</v>
      </c>
      <c r="D33" s="29" t="n">
        <f aca="false">(D32-D7)*100</f>
        <v>1.73426086956521</v>
      </c>
      <c r="E33" s="29" t="n">
        <f aca="false">(E32-E7)*100</f>
        <v>15.6167994836125</v>
      </c>
      <c r="F33" s="2" t="s">
        <v>225</v>
      </c>
    </row>
    <row r="34" customFormat="false" ht="15" hidden="false" customHeight="false" outlineLevel="0" collapsed="false">
      <c r="A34" s="15" t="s">
        <v>226</v>
      </c>
      <c r="B34" s="18"/>
      <c r="C34" s="31" t="n">
        <f aca="false">Input!C22/C6*365</f>
        <v>61.9904891304348</v>
      </c>
      <c r="D34" s="31" t="n">
        <f aca="false">Input!D22/D6*365</f>
        <v>62.9997448979592</v>
      </c>
      <c r="E34" s="31" t="n">
        <f aca="false">Input!E22/E6*365</f>
        <v>72.0107476635514</v>
      </c>
      <c r="F34" s="2" t="s">
        <v>227</v>
      </c>
    </row>
    <row r="35" customFormat="false" ht="15" hidden="false" customHeight="false" outlineLevel="0" collapsed="false">
      <c r="A35" s="15" t="s">
        <v>228</v>
      </c>
      <c r="B35" s="18"/>
      <c r="C35" s="26" t="s">
        <v>174</v>
      </c>
      <c r="D35" s="31" t="n">
        <f aca="false">D34-C34</f>
        <v>1.0092557675244</v>
      </c>
      <c r="E35" s="31" t="n">
        <f aca="false">E34-D34</f>
        <v>9.01100276559222</v>
      </c>
      <c r="F35" s="2" t="s">
        <v>229</v>
      </c>
    </row>
    <row r="36" customFormat="false" ht="15" hidden="false" customHeight="false" outlineLevel="0" collapsed="false">
      <c r="A36" s="15" t="s">
        <v>230</v>
      </c>
      <c r="B36" s="18"/>
      <c r="C36" s="27" t="n">
        <f aca="false">Input!C21/Input!B21-1</f>
        <v>0.0451612903225807</v>
      </c>
      <c r="D36" s="27" t="n">
        <f aca="false">Input!D21/Input!C21-1</f>
        <v>0.0856481481481481</v>
      </c>
      <c r="E36" s="27" t="n">
        <f aca="false">Input!E21/Input!D21-1</f>
        <v>0.254797441364605</v>
      </c>
      <c r="F36" s="2" t="s">
        <v>231</v>
      </c>
    </row>
    <row r="37" customFormat="false" ht="15" hidden="false" customHeight="false" outlineLevel="0" collapsed="false">
      <c r="A37" s="15" t="s">
        <v>232</v>
      </c>
      <c r="B37" s="18"/>
      <c r="C37" s="26" t="s">
        <v>174</v>
      </c>
      <c r="D37" s="27" t="n">
        <f aca="false">Input!D7/Input!C7-1</f>
        <v>0.0707762557077625</v>
      </c>
      <c r="E37" s="27" t="n">
        <f aca="false">Input!E7/Input!D7-1</f>
        <v>0.14498933901919</v>
      </c>
      <c r="F37" s="2" t="s">
        <v>233</v>
      </c>
    </row>
    <row r="38" customFormat="false" ht="15" hidden="false" customHeight="false" outlineLevel="0" collapsed="false">
      <c r="A38" s="15" t="s">
        <v>234</v>
      </c>
      <c r="B38" s="18"/>
      <c r="C38" s="26" t="s">
        <v>174</v>
      </c>
      <c r="D38" s="29" t="n">
        <f aca="false">(D36-D37)*100</f>
        <v>1.48718924403857</v>
      </c>
      <c r="E38" s="29" t="n">
        <f aca="false">(E36-E37)*100</f>
        <v>10.9808102345416</v>
      </c>
      <c r="F38" s="2" t="s">
        <v>235</v>
      </c>
    </row>
    <row r="39" customFormat="false" ht="15" hidden="false" customHeight="false" outlineLevel="0" collapsed="false">
      <c r="A39" s="15" t="s">
        <v>236</v>
      </c>
      <c r="B39" s="18"/>
      <c r="C39" s="31" t="n">
        <f aca="false">Input!C21/-Input!C7*365</f>
        <v>72</v>
      </c>
      <c r="D39" s="31" t="n">
        <f aca="false">Input!D21/-Input!D7*365</f>
        <v>73</v>
      </c>
      <c r="E39" s="31" t="n">
        <f aca="false">Input!E21/-Input!E7*365</f>
        <v>80.0009310986965</v>
      </c>
      <c r="F39" s="2" t="s">
        <v>237</v>
      </c>
    </row>
    <row r="40" customFormat="false" ht="15" hidden="false" customHeight="false" outlineLevel="0" collapsed="false">
      <c r="A40" s="15" t="s">
        <v>238</v>
      </c>
      <c r="B40" s="18"/>
      <c r="C40" s="31" t="n">
        <f aca="false">Input!C29/-Input!C7*365</f>
        <v>55</v>
      </c>
      <c r="D40" s="31" t="n">
        <f aca="false">Input!D29/-Input!D7*365</f>
        <v>56.0081734186212</v>
      </c>
      <c r="E40" s="31" t="n">
        <f aca="false">Input!E29/-Input!E7*365</f>
        <v>64.0052762259466</v>
      </c>
      <c r="F40" s="2" t="s">
        <v>239</v>
      </c>
    </row>
    <row r="41" customFormat="false" ht="15" hidden="false" customHeight="false" outlineLevel="0" collapsed="false">
      <c r="A41" s="15" t="s">
        <v>240</v>
      </c>
      <c r="B41" s="18"/>
      <c r="C41" s="26" t="s">
        <v>174</v>
      </c>
      <c r="D41" s="31" t="n">
        <f aca="false">D40-C40</f>
        <v>1.00817341862118</v>
      </c>
      <c r="E41" s="31" t="n">
        <f aca="false">E40-D40</f>
        <v>7.99710280732543</v>
      </c>
      <c r="F41" s="2" t="s">
        <v>241</v>
      </c>
    </row>
    <row r="42" customFormat="false" ht="15" hidden="false" customHeight="false" outlineLevel="0" collapsed="false">
      <c r="A42" s="13" t="s">
        <v>242</v>
      </c>
      <c r="B42" s="24"/>
      <c r="C42" s="24"/>
      <c r="D42" s="24"/>
      <c r="E42" s="24"/>
      <c r="F42" s="24"/>
    </row>
    <row r="43" customFormat="false" ht="15" hidden="false" customHeight="false" outlineLevel="0" collapsed="false">
      <c r="A43" s="15" t="s">
        <v>243</v>
      </c>
      <c r="B43" s="18"/>
      <c r="C43" s="25" t="n">
        <f aca="false">Input!C40</f>
        <v>1393</v>
      </c>
      <c r="D43" s="25" t="n">
        <f aca="false">Input!D40</f>
        <v>1429</v>
      </c>
      <c r="E43" s="25" t="n">
        <f aca="false">Input!E40</f>
        <v>290</v>
      </c>
      <c r="F43" s="2" t="s">
        <v>244</v>
      </c>
    </row>
    <row r="44" customFormat="false" ht="15" hidden="false" customHeight="false" outlineLevel="0" collapsed="false">
      <c r="A44" s="15" t="s">
        <v>245</v>
      </c>
      <c r="B44" s="18"/>
      <c r="C44" s="27" t="n">
        <f aca="false">IF(C19&lt;=0,"n.d.",C43/C19)</f>
        <v>0.892948717948718</v>
      </c>
      <c r="D44" s="27" t="n">
        <f aca="false">IF(D19&lt;=0,"n.d.",D43/D19)</f>
        <v>0.871341463414634</v>
      </c>
      <c r="E44" s="27" t="n">
        <f aca="false">IF(E19&lt;=0,"n.d.",E43/E19)</f>
        <v>0.204946996466431</v>
      </c>
      <c r="F44" s="2" t="s">
        <v>246</v>
      </c>
    </row>
    <row r="45" customFormat="false" ht="15" hidden="false" customHeight="false" outlineLevel="0" collapsed="false">
      <c r="A45" s="15" t="s">
        <v>247</v>
      </c>
      <c r="B45" s="18"/>
      <c r="C45" s="25" t="n">
        <f aca="false">Input!C41</f>
        <v>956</v>
      </c>
      <c r="D45" s="25" t="n">
        <f aca="false">Input!D41</f>
        <v>986</v>
      </c>
      <c r="E45" s="25" t="n">
        <f aca="false">Input!E41</f>
        <v>-114</v>
      </c>
      <c r="F45" s="2" t="s">
        <v>248</v>
      </c>
    </row>
    <row r="46" customFormat="false" ht="15" hidden="false" customHeight="false" outlineLevel="0" collapsed="false">
      <c r="A46" s="15" t="s">
        <v>249</v>
      </c>
      <c r="B46" s="18"/>
      <c r="C46" s="25" t="n">
        <f aca="false">Input!C41+Input!C42+Input!C43</f>
        <v>536</v>
      </c>
      <c r="D46" s="25" t="n">
        <f aca="false">Input!D41+Input!D42+Input!D43</f>
        <v>536</v>
      </c>
      <c r="E46" s="25" t="n">
        <f aca="false">Input!E41+Input!E42+Input!E43</f>
        <v>-34</v>
      </c>
      <c r="F46" s="2" t="s">
        <v>250</v>
      </c>
    </row>
    <row r="47" customFormat="false" ht="15" hidden="false" customHeight="false" outlineLevel="0" collapsed="false">
      <c r="A47" s="15" t="s">
        <v>251</v>
      </c>
      <c r="B47" s="18"/>
      <c r="C47" s="27" t="n">
        <f aca="false">-Input!C42/C6</f>
        <v>0.0228260869565217</v>
      </c>
      <c r="D47" s="27" t="n">
        <f aca="false">-Input!D42/D6</f>
        <v>0.0229591836734694</v>
      </c>
      <c r="E47" s="27" t="n">
        <f aca="false">-Input!E42/E6</f>
        <v>0.0242990654205607</v>
      </c>
      <c r="F47" s="2" t="s">
        <v>252</v>
      </c>
    </row>
    <row r="48" customFormat="false" ht="15" hidden="false" customHeight="false" outlineLevel="0" collapsed="false">
      <c r="A48" s="13" t="s">
        <v>253</v>
      </c>
      <c r="B48" s="24"/>
      <c r="C48" s="24"/>
      <c r="D48" s="24"/>
      <c r="E48" s="24"/>
      <c r="F48" s="24"/>
    </row>
    <row r="49" customFormat="false" ht="15" hidden="false" customHeight="false" outlineLevel="0" collapsed="false">
      <c r="A49" s="15" t="s">
        <v>254</v>
      </c>
      <c r="B49" s="25" t="n">
        <f aca="false">Input!B27+Input!B30</f>
        <v>4300</v>
      </c>
      <c r="C49" s="25" t="n">
        <f aca="false">Input!C27+Input!C30</f>
        <v>4050</v>
      </c>
      <c r="D49" s="25" t="n">
        <f aca="false">Input!D27+Input!D30</f>
        <v>3850</v>
      </c>
      <c r="E49" s="25" t="n">
        <f aca="false">Input!E27+Input!E30</f>
        <v>4350</v>
      </c>
      <c r="F49" s="2" t="s">
        <v>255</v>
      </c>
    </row>
    <row r="50" customFormat="false" ht="15" hidden="false" customHeight="false" outlineLevel="0" collapsed="false">
      <c r="A50" s="15" t="s">
        <v>256</v>
      </c>
      <c r="B50" s="27" t="n">
        <f aca="false">IF(B49=0,"n.d.",Input!B30/B49)</f>
        <v>0.186046511627907</v>
      </c>
      <c r="C50" s="27" t="n">
        <f aca="false">IF(C49=0,"n.d.",Input!C30/C49)</f>
        <v>0.185185185185185</v>
      </c>
      <c r="D50" s="27" t="n">
        <f aca="false">IF(D49=0,"n.d.",Input!D30/D49)</f>
        <v>0.207792207792208</v>
      </c>
      <c r="E50" s="27" t="n">
        <f aca="false">IF(E49=0,"n.d.",Input!E30/E49)</f>
        <v>0.551724137931035</v>
      </c>
      <c r="F50" s="2" t="s">
        <v>257</v>
      </c>
    </row>
    <row r="51" customFormat="false" ht="15" hidden="false" customHeight="false" outlineLevel="0" collapsed="false">
      <c r="A51" s="15" t="s">
        <v>258</v>
      </c>
      <c r="B51" s="25" t="n">
        <f aca="false">B49-Input!B24</f>
        <v>3650</v>
      </c>
      <c r="C51" s="25" t="n">
        <f aca="false">C49-Input!C24</f>
        <v>3414</v>
      </c>
      <c r="D51" s="25" t="n">
        <f aca="false">D49-Input!D24</f>
        <v>3313</v>
      </c>
      <c r="E51" s="25" t="n">
        <f aca="false">E49-Input!E24</f>
        <v>3747</v>
      </c>
      <c r="F51" s="2" t="s">
        <v>259</v>
      </c>
    </row>
    <row r="52" customFormat="false" ht="15" hidden="false" customHeight="false" outlineLevel="0" collapsed="false">
      <c r="A52" s="15" t="s">
        <v>260</v>
      </c>
      <c r="B52" s="18"/>
      <c r="C52" s="32" t="n">
        <f aca="false">IF(C19&lt;=0,"n.d.",C51/C19)</f>
        <v>2.18846153846154</v>
      </c>
      <c r="D52" s="32" t="n">
        <f aca="false">IF(D19&lt;=0,"n.d.",D51/D19)</f>
        <v>2.02012195121951</v>
      </c>
      <c r="E52" s="32" t="n">
        <f aca="false">IF(E19&lt;=0,"n.d.",E51/E19)</f>
        <v>2.64805653710247</v>
      </c>
      <c r="F52" s="2" t="s">
        <v>261</v>
      </c>
    </row>
    <row r="53" customFormat="false" ht="15" hidden="false" customHeight="false" outlineLevel="0" collapsed="false">
      <c r="A53" s="15" t="s">
        <v>262</v>
      </c>
      <c r="B53" s="18"/>
      <c r="C53" s="32" t="n">
        <f aca="false">IF(C25&lt;=0,"n.d.",C51/C25)</f>
        <v>2.18846153846154</v>
      </c>
      <c r="D53" s="32" t="n">
        <f aca="false">IF(D25&lt;=0,"n.d.",D51/D25)</f>
        <v>2.02012195121951</v>
      </c>
      <c r="E53" s="32" t="n">
        <f aca="false">IF(E25&lt;=0,"n.d.",E51/E25)</f>
        <v>3.21630901287554</v>
      </c>
      <c r="F53" s="2" t="s">
        <v>263</v>
      </c>
    </row>
    <row r="54" customFormat="false" ht="15" hidden="false" customHeight="false" outlineLevel="0" collapsed="false">
      <c r="A54" s="15" t="s">
        <v>264</v>
      </c>
      <c r="B54" s="18"/>
      <c r="C54" s="26" t="s">
        <v>174</v>
      </c>
      <c r="D54" s="26" t="s">
        <v>174</v>
      </c>
      <c r="E54" s="32" t="n">
        <f aca="false">Input!E73</f>
        <v>3</v>
      </c>
      <c r="F54" s="2" t="s">
        <v>265</v>
      </c>
    </row>
    <row r="55" customFormat="false" ht="15" hidden="false" customHeight="false" outlineLevel="0" collapsed="false">
      <c r="A55" s="15" t="s">
        <v>266</v>
      </c>
      <c r="B55" s="18"/>
      <c r="C55" s="26" t="s">
        <v>174</v>
      </c>
      <c r="D55" s="26" t="s">
        <v>174</v>
      </c>
      <c r="E55" s="27" t="n">
        <f aca="false">IF(ISNUMBER(E52),1-E52/E54,"n.d.")</f>
        <v>0.117314487632509</v>
      </c>
      <c r="F55" s="2" t="s">
        <v>267</v>
      </c>
    </row>
    <row r="56" customFormat="false" ht="15" hidden="false" customHeight="false" outlineLevel="0" collapsed="false">
      <c r="A56" s="15" t="s">
        <v>268</v>
      </c>
      <c r="B56" s="18"/>
      <c r="C56" s="26" t="s">
        <v>174</v>
      </c>
      <c r="D56" s="26" t="s">
        <v>174</v>
      </c>
      <c r="E56" s="25" t="n">
        <f aca="false">E51/E54</f>
        <v>1249</v>
      </c>
      <c r="F56" s="2" t="s">
        <v>269</v>
      </c>
    </row>
    <row r="57" customFormat="false" ht="15" hidden="false" customHeight="false" outlineLevel="0" collapsed="false">
      <c r="A57" s="13" t="s">
        <v>270</v>
      </c>
      <c r="B57" s="24"/>
      <c r="C57" s="24"/>
      <c r="D57" s="24"/>
      <c r="E57" s="24"/>
      <c r="F57" s="24"/>
    </row>
    <row r="58" customFormat="false" ht="15" hidden="false" customHeight="false" outlineLevel="0" collapsed="false">
      <c r="A58" s="15" t="s">
        <v>271</v>
      </c>
      <c r="B58" s="25" t="n">
        <f aca="false">(Input!B19+Input!B20+Input!B21+Input!B22+Input!B23+Input!B24)-(Input!B25+Input!B27+Input!B28+Input!B29+Input!B30+Input!B31)</f>
        <v>0</v>
      </c>
      <c r="C58" s="25" t="n">
        <f aca="false">(Input!C19+Input!C20+Input!C21+Input!C22+Input!C23+Input!C24)-(Input!C25+Input!C27+Input!C28+Input!C29+Input!C30+Input!C31)</f>
        <v>0</v>
      </c>
      <c r="D58" s="25" t="n">
        <f aca="false">(Input!D19+Input!D20+Input!D21+Input!D22+Input!D23+Input!D24)-(Input!D25+Input!D27+Input!D28+Input!D29+Input!D30+Input!D31)</f>
        <v>0</v>
      </c>
      <c r="E58" s="25" t="n">
        <f aca="false">(Input!E19+Input!E20+Input!E21+Input!E22+Input!E23+Input!E24)-(Input!E25+Input!E27+Input!E28+Input!E29+Input!E30+Input!E31)</f>
        <v>0</v>
      </c>
      <c r="F58" s="2" t="s">
        <v>272</v>
      </c>
    </row>
    <row r="59" customFormat="false" ht="15" hidden="false" customHeight="false" outlineLevel="0" collapsed="false">
      <c r="A59" s="15" t="s">
        <v>273</v>
      </c>
      <c r="B59" s="18"/>
      <c r="C59" s="25" t="n">
        <f aca="false">Input!C46-Input!C24</f>
        <v>0</v>
      </c>
      <c r="D59" s="25" t="n">
        <f aca="false">Input!D46-Input!D24</f>
        <v>85</v>
      </c>
      <c r="E59" s="25" t="n">
        <f aca="false">Input!E46-Input!E24</f>
        <v>0</v>
      </c>
      <c r="F59" s="2" t="s">
        <v>272</v>
      </c>
    </row>
    <row r="60" customFormat="false" ht="15" hidden="false" customHeight="false" outlineLevel="0" collapsed="false">
      <c r="A60" s="15" t="s">
        <v>274</v>
      </c>
      <c r="B60" s="18"/>
      <c r="C60" s="25" t="n">
        <f aca="false">ABS(Input!C35+(Input!C22-Input!B22))+ABS(Input!C36+(Input!C21-Input!B21))+ABS(Input!C37-(Input!C29-Input!B29))+ABS(Input!C38+(Input!C23-Input!B23))+ABS(Input!C39-(Input!C31-Input!B31))</f>
        <v>0</v>
      </c>
      <c r="D60" s="25" t="n">
        <f aca="false">ABS(Input!D35+(Input!D22-Input!C22))+ABS(Input!D36+(Input!D21-Input!C21))+ABS(Input!D37-(Input!D29-Input!C29))+ABS(Input!D38+(Input!D23-Input!C23))+ABS(Input!D39-(Input!D31-Input!C31))</f>
        <v>85</v>
      </c>
      <c r="E60" s="25" t="n">
        <f aca="false">ABS(Input!E35+(Input!E22-Input!D22))+ABS(Input!E36+(Input!E21-Input!D21))+ABS(Input!E37-(Input!E29-Input!D29))+ABS(Input!E38+(Input!E23-Input!D23))+ABS(Input!E39-(Input!E31-Input!D31))</f>
        <v>0</v>
      </c>
      <c r="F60" s="2" t="s">
        <v>275</v>
      </c>
    </row>
    <row r="61" customFormat="false" ht="15" hidden="false" customHeight="false" outlineLevel="0" collapsed="false">
      <c r="A61" s="15" t="s">
        <v>276</v>
      </c>
      <c r="B61" s="18"/>
      <c r="C61" s="25" t="n">
        <f aca="false">MAX(ABS(Input!C16-Input!C26),ABS(Input!C16-Input!C34))</f>
        <v>0</v>
      </c>
      <c r="D61" s="25" t="n">
        <f aca="false">MAX(ABS(Input!D16-Input!D26),ABS(Input!D16-Input!D34))</f>
        <v>0</v>
      </c>
      <c r="E61" s="25" t="n">
        <f aca="false">MAX(ABS(Input!E16-Input!E26),ABS(Input!E16-Input!E34))</f>
        <v>0</v>
      </c>
      <c r="F61" s="2" t="s">
        <v>272</v>
      </c>
    </row>
    <row r="62" customFormat="false" ht="15" hidden="false" customHeight="false" outlineLevel="0" collapsed="false">
      <c r="A62" s="15" t="s">
        <v>277</v>
      </c>
      <c r="B62" s="18"/>
      <c r="C62" s="25" t="n">
        <f aca="false">SUM(Input!C49:C61)-C6</f>
        <v>0</v>
      </c>
      <c r="D62" s="25" t="n">
        <f aca="false">SUM(Input!D49:D61)-D6</f>
        <v>0</v>
      </c>
      <c r="E62" s="25" t="n">
        <f aca="false">SUM(Input!E49:E61)-E6</f>
        <v>0</v>
      </c>
      <c r="F62" s="2" t="s">
        <v>272</v>
      </c>
    </row>
    <row r="63" customFormat="false" ht="15" hidden="false" customHeight="false" outlineLevel="0" collapsed="false">
      <c r="A63" s="15" t="s">
        <v>278</v>
      </c>
      <c r="B63" s="18"/>
      <c r="C63" s="26" t="s">
        <v>174</v>
      </c>
      <c r="D63" s="26" t="s">
        <v>174</v>
      </c>
      <c r="E63" s="25" t="n">
        <f aca="false">ABS(Input!E71-E49)+ABS(Input!E72-Input!E30)</f>
        <v>0</v>
      </c>
      <c r="F63" s="2" t="s">
        <v>279</v>
      </c>
    </row>
    <row r="64" customFormat="false" ht="15" hidden="false" customHeight="false" outlineLevel="0" collapsed="false">
      <c r="A64" s="13" t="s">
        <v>280</v>
      </c>
      <c r="B64" s="24"/>
      <c r="C64" s="24"/>
      <c r="D64" s="24"/>
      <c r="E64" s="24"/>
      <c r="F64" s="24"/>
    </row>
    <row r="65" customFormat="false" ht="15" hidden="false" customHeight="false" outlineLevel="0" collapsed="false">
      <c r="A65" s="15" t="s">
        <v>281</v>
      </c>
      <c r="B65" s="18"/>
      <c r="C65" s="26" t="s">
        <v>174</v>
      </c>
      <c r="D65" s="26" t="s">
        <v>174</v>
      </c>
      <c r="E65" s="30" t="n">
        <f aca="false">COUNTIF(Input!B76:B85,"Não")</f>
        <v>5</v>
      </c>
      <c r="F65" s="2" t="s">
        <v>282</v>
      </c>
    </row>
    <row r="66" customFormat="false" ht="15" hidden="false" customHeight="false" outlineLevel="0" collapsed="false">
      <c r="A66" s="15" t="s">
        <v>283</v>
      </c>
      <c r="B66" s="18"/>
      <c r="C66" s="26" t="s">
        <v>174</v>
      </c>
      <c r="D66" s="26" t="s">
        <v>174</v>
      </c>
      <c r="E66" s="28" t="str">
        <f aca="false">IF(LEN(IF(Input!B76="Não",Input!A76&amp;"; ","")&amp;IF(Input!B77="Não",Input!A77&amp;"; ","")&amp;IF(Input!B78="Não",Input!A78&amp;"; ","")&amp;IF(Input!B79="Não",Input!A79&amp;"; ","")&amp;IF(Input!B80="Não",Input!A80&amp;"; ","")&amp;IF(Input!B81="Não",Input!A81&amp;"; ","")&amp;IF(Input!B82="Não",Input!A82&amp;"; ","")&amp;IF(Input!B83="Não",Input!A83&amp;"; ","")&amp;IF(Input!B84="Não",Input!A84&amp;"; ","")&amp;IF(Input!B85="Não",Input!A85&amp;"; ",""))=0,"—",LEFT(IF(Input!B76="Não",Input!A76&amp;"; ","")&amp;IF(Input!B77="Não",Input!A77&amp;"; ","")&amp;IF(Input!B78="Não",Input!A78&amp;"; ","")&amp;IF(Input!B79="Não",Input!A79&amp;"; ","")&amp;IF(Input!B80="Não",Input!A80&amp;"; ","")&amp;IF(Input!B81="Não",Input!A81&amp;"; ","")&amp;IF(Input!B82="Não",Input!A82&amp;"; ","")&amp;IF(Input!B83="Não",Input!A83&amp;"; ","")&amp;IF(Input!B84="Não",Input!A84&amp;"; ","")&amp;IF(Input!B85="Não",Input!A85&amp;"; ",""),LEN(IF(Input!B76="Não",Input!A76&amp;"; ","")&amp;IF(Input!B77="Não",Input!A77&amp;"; ","")&amp;IF(Input!B78="Não",Input!A78&amp;"; ","")&amp;IF(Input!B79="Não",Input!A79&amp;"; ","")&amp;IF(Input!B80="Não",Input!A80&amp;"; ","")&amp;IF(Input!B81="Não",Input!A81&amp;"; ","")&amp;IF(Input!B82="Não",Input!A82&amp;"; ","")&amp;IF(Input!B83="Não",Input!A83&amp;"; ","")&amp;IF(Input!B84="Não",Input!A84&amp;"; ","")&amp;IF(Input!B85="Não",Input!A85&amp;"; ",""))-2))</f>
        <v>Evidência dos ajustes ao EBITDA (faturas, contratos); Detalhe de outros rendimentos e outros gastos; Aging de clientes; Aging de inventários; Contratos de financiamento</v>
      </c>
      <c r="F66" s="2" t="s">
        <v>284</v>
      </c>
    </row>
    <row r="67" customFormat="false" ht="15" hidden="false" customHeight="false" outlineLevel="0" collapsed="false">
      <c r="A67" s="33"/>
      <c r="B67" s="33"/>
      <c r="C67" s="33"/>
      <c r="D67" s="33"/>
      <c r="E67" s="33"/>
      <c r="F67" s="33"/>
    </row>
    <row r="68" customFormat="false" ht="15" hidden="false" customHeight="false" outlineLevel="0" collapsed="false">
      <c r="A68" s="13" t="s">
        <v>285</v>
      </c>
      <c r="B68" s="24"/>
      <c r="C68" s="24"/>
      <c r="D68" s="24"/>
      <c r="E68" s="24"/>
      <c r="F68" s="24"/>
    </row>
    <row r="69" customFormat="false" ht="15" hidden="false" customHeight="false" outlineLevel="0" collapsed="false">
      <c r="A69" s="34" t="str">
        <f aca="false">IF(Input!A49="","",Input!A49)</f>
        <v>Cliente A</v>
      </c>
      <c r="B69" s="33"/>
      <c r="C69" s="35" t="s">
        <v>174</v>
      </c>
      <c r="D69" s="36" t="n">
        <f aca="false">IF(AND(N(Input!C49)=0,N(Input!D49)&gt;0),Input!D49,0)</f>
        <v>0</v>
      </c>
      <c r="E69" s="36" t="n">
        <f aca="false">IF(AND(N(Input!D49)=0,N(Input!E49)&gt;0),Input!E49,0)</f>
        <v>0</v>
      </c>
      <c r="F69" s="33"/>
    </row>
    <row r="70" customFormat="false" ht="15" hidden="false" customHeight="false" outlineLevel="0" collapsed="false">
      <c r="A70" s="34" t="str">
        <f aca="false">IF(Input!A50="","",Input!A50)</f>
        <v>Cliente B</v>
      </c>
      <c r="B70" s="33"/>
      <c r="C70" s="35" t="s">
        <v>174</v>
      </c>
      <c r="D70" s="36" t="n">
        <f aca="false">IF(AND(N(Input!C50)=0,N(Input!D50)&gt;0),Input!D50,0)</f>
        <v>0</v>
      </c>
      <c r="E70" s="36" t="n">
        <f aca="false">IF(AND(N(Input!D50)=0,N(Input!E50)&gt;0),Input!E50,0)</f>
        <v>0</v>
      </c>
      <c r="F70" s="33"/>
    </row>
    <row r="71" customFormat="false" ht="15" hidden="false" customHeight="false" outlineLevel="0" collapsed="false">
      <c r="A71" s="34" t="str">
        <f aca="false">IF(Input!A51="","",Input!A51)</f>
        <v>Cliente C</v>
      </c>
      <c r="B71" s="33"/>
      <c r="C71" s="35" t="s">
        <v>174</v>
      </c>
      <c r="D71" s="36" t="n">
        <f aca="false">IF(AND(N(Input!C51)=0,N(Input!D51)&gt;0),Input!D51,0)</f>
        <v>0</v>
      </c>
      <c r="E71" s="36" t="n">
        <f aca="false">IF(AND(N(Input!D51)=0,N(Input!E51)&gt;0),Input!E51,0)</f>
        <v>0</v>
      </c>
      <c r="F71" s="33"/>
    </row>
    <row r="72" customFormat="false" ht="15" hidden="false" customHeight="false" outlineLevel="0" collapsed="false">
      <c r="A72" s="34" t="str">
        <f aca="false">IF(Input!A52="","",Input!A52)</f>
        <v>Cliente D</v>
      </c>
      <c r="B72" s="33"/>
      <c r="C72" s="35" t="s">
        <v>174</v>
      </c>
      <c r="D72" s="36" t="n">
        <f aca="false">IF(AND(N(Input!C52)=0,N(Input!D52)&gt;0),Input!D52,0)</f>
        <v>0</v>
      </c>
      <c r="E72" s="36" t="n">
        <f aca="false">IF(AND(N(Input!D52)=0,N(Input!E52)&gt;0),Input!E52,0)</f>
        <v>0</v>
      </c>
      <c r="F72" s="33"/>
    </row>
    <row r="73" customFormat="false" ht="15" hidden="false" customHeight="false" outlineLevel="0" collapsed="false">
      <c r="A73" s="34" t="str">
        <f aca="false">IF(Input!A53="","",Input!A53)</f>
        <v>Cliente E</v>
      </c>
      <c r="B73" s="33"/>
      <c r="C73" s="35" t="s">
        <v>174</v>
      </c>
      <c r="D73" s="36" t="n">
        <f aca="false">IF(AND(N(Input!C53)=0,N(Input!D53)&gt;0),Input!D53,0)</f>
        <v>0</v>
      </c>
      <c r="E73" s="36" t="n">
        <f aca="false">IF(AND(N(Input!D53)=0,N(Input!E53)&gt;0),Input!E53,0)</f>
        <v>0</v>
      </c>
      <c r="F73" s="33"/>
    </row>
    <row r="74" customFormat="false" ht="15" hidden="false" customHeight="false" outlineLevel="0" collapsed="false">
      <c r="A74" s="34" t="str">
        <f aca="false">IF(Input!A54="","",Input!A54)</f>
        <v>Cliente F</v>
      </c>
      <c r="B74" s="33"/>
      <c r="C74" s="35" t="s">
        <v>174</v>
      </c>
      <c r="D74" s="36" t="n">
        <f aca="false">IF(AND(N(Input!C54)=0,N(Input!D54)&gt;0),Input!D54,0)</f>
        <v>0</v>
      </c>
      <c r="E74" s="36" t="n">
        <f aca="false">IF(AND(N(Input!D54)=0,N(Input!E54)&gt;0),Input!E54,0)</f>
        <v>0</v>
      </c>
      <c r="F74" s="33"/>
    </row>
    <row r="75" customFormat="false" ht="15" hidden="false" customHeight="false" outlineLevel="0" collapsed="false">
      <c r="A75" s="34" t="str">
        <f aca="false">IF(Input!A55="","",Input!A55)</f>
        <v>Cliente G</v>
      </c>
      <c r="B75" s="33"/>
      <c r="C75" s="35" t="s">
        <v>174</v>
      </c>
      <c r="D75" s="36" t="n">
        <f aca="false">IF(AND(N(Input!C55)=0,N(Input!D55)&gt;0),Input!D55,0)</f>
        <v>0</v>
      </c>
      <c r="E75" s="36" t="n">
        <f aca="false">IF(AND(N(Input!D55)=0,N(Input!E55)&gt;0),Input!E55,0)</f>
        <v>0</v>
      </c>
      <c r="F75" s="33"/>
    </row>
    <row r="76" customFormat="false" ht="15" hidden="false" customHeight="false" outlineLevel="0" collapsed="false">
      <c r="A76" s="34" t="str">
        <f aca="false">IF(Input!A56="","",Input!A56)</f>
        <v>Cliente H</v>
      </c>
      <c r="B76" s="33"/>
      <c r="C76" s="35" t="s">
        <v>174</v>
      </c>
      <c r="D76" s="36" t="n">
        <f aca="false">IF(AND(N(Input!C56)=0,N(Input!D56)&gt;0),Input!D56,0)</f>
        <v>0</v>
      </c>
      <c r="E76" s="36" t="n">
        <f aca="false">IF(AND(N(Input!D56)=0,N(Input!E56)&gt;0),Input!E56,0)</f>
        <v>0</v>
      </c>
      <c r="F76" s="33"/>
    </row>
    <row r="77" customFormat="false" ht="15" hidden="false" customHeight="false" outlineLevel="0" collapsed="false">
      <c r="A77" s="34" t="str">
        <f aca="false">IF(Input!A57="","",Input!A57)</f>
        <v>Cliente I</v>
      </c>
      <c r="B77" s="33"/>
      <c r="C77" s="35" t="s">
        <v>174</v>
      </c>
      <c r="D77" s="36" t="n">
        <f aca="false">IF(AND(N(Input!C57)=0,N(Input!D57)&gt;0),Input!D57,0)</f>
        <v>0</v>
      </c>
      <c r="E77" s="36" t="n">
        <f aca="false">IF(AND(N(Input!D57)=0,N(Input!E57)&gt;0),Input!E57,0)</f>
        <v>0</v>
      </c>
      <c r="F77" s="33"/>
    </row>
    <row r="78" customFormat="false" ht="15" hidden="false" customHeight="false" outlineLevel="0" collapsed="false">
      <c r="A78" s="34" t="str">
        <f aca="false">IF(Input!A58="","",Input!A58)</f>
        <v>Cliente K</v>
      </c>
      <c r="B78" s="33"/>
      <c r="C78" s="35" t="s">
        <v>174</v>
      </c>
      <c r="D78" s="36" t="n">
        <f aca="false">IF(AND(N(Input!C58)=0,N(Input!D58)&gt;0),Input!D58,0)</f>
        <v>0</v>
      </c>
      <c r="E78" s="36" t="n">
        <f aca="false">IF(AND(N(Input!D58)=0,N(Input!E58)&gt;0),Input!E58,0)</f>
        <v>1300</v>
      </c>
      <c r="F78" s="33"/>
    </row>
    <row r="79" customFormat="false" ht="15" hidden="false" customHeight="false" outlineLevel="0" collapsed="false">
      <c r="A79" s="34" t="str">
        <f aca="false">IF(Input!A59="","",Input!A59)</f>
        <v/>
      </c>
      <c r="B79" s="33"/>
      <c r="C79" s="35" t="s">
        <v>174</v>
      </c>
      <c r="D79" s="36" t="n">
        <f aca="false">IF(AND(N(Input!C59)=0,N(Input!D59)&gt;0),Input!D59,0)</f>
        <v>0</v>
      </c>
      <c r="E79" s="36" t="n">
        <f aca="false">IF(AND(N(Input!D59)=0,N(Input!E59)&gt;0),Input!E59,0)</f>
        <v>0</v>
      </c>
      <c r="F79" s="33"/>
    </row>
    <row r="80" customFormat="false" ht="15" hidden="false" customHeight="false" outlineLevel="0" collapsed="false">
      <c r="A80" s="34" t="str">
        <f aca="false">IF(Input!A60="","",Input!A60)</f>
        <v/>
      </c>
      <c r="B80" s="33"/>
      <c r="C80" s="35" t="s">
        <v>174</v>
      </c>
      <c r="D80" s="36" t="n">
        <f aca="false">IF(AND(N(Input!C60)=0,N(Input!D60)&gt;0),Input!D60,0)</f>
        <v>0</v>
      </c>
      <c r="E80" s="36" t="n">
        <f aca="false">IF(AND(N(Input!D60)=0,N(Input!E60)&gt;0),Input!E60,0)</f>
        <v>0</v>
      </c>
      <c r="F80" s="33"/>
    </row>
    <row r="81" customFormat="false" ht="15" hidden="false" customHeight="false" outlineLevel="0" collapsed="false">
      <c r="A81" s="33"/>
      <c r="B81" s="33"/>
      <c r="C81" s="33"/>
      <c r="D81" s="33"/>
      <c r="E81" s="33"/>
      <c r="F81" s="33"/>
    </row>
    <row r="82" customFormat="false" ht="15" hidden="false" customHeight="false" outlineLevel="0" collapsed="false">
      <c r="A82" s="13" t="s">
        <v>286</v>
      </c>
      <c r="B82" s="24"/>
      <c r="C82" s="24"/>
      <c r="D82" s="24"/>
      <c r="E82" s="24"/>
      <c r="F82" s="24"/>
    </row>
    <row r="83" customFormat="false" ht="15" hidden="false" customHeight="false" outlineLevel="0" collapsed="false">
      <c r="A83" s="34" t="str">
        <f aca="false">IF(Input!A64="","",Input!A64)</f>
        <v>Custos de reestruturação</v>
      </c>
      <c r="B83" s="33"/>
      <c r="C83" s="33"/>
      <c r="D83" s="33"/>
      <c r="E83" s="33" t="n">
        <f aca="false">IF(AND(N(Input!C64)&lt;&gt;0,N(Input!D64)&lt;&gt;0,N(Input!E64)&lt;&gt;0),1,0)</f>
        <v>1</v>
      </c>
      <c r="F83" s="33"/>
    </row>
    <row r="84" customFormat="false" ht="15" hidden="false" customHeight="false" outlineLevel="0" collapsed="false">
      <c r="A84" s="34" t="str">
        <f aca="false">IF(Input!A65="","",Input!A65)</f>
        <v>Consultoria estratégica</v>
      </c>
      <c r="B84" s="33"/>
      <c r="C84" s="33"/>
      <c r="D84" s="33"/>
      <c r="E84" s="33" t="n">
        <f aca="false">IF(AND(N(Input!C65)&lt;&gt;0,N(Input!D65)&lt;&gt;0,N(Input!E65)&lt;&gt;0),1,0)</f>
        <v>0</v>
      </c>
      <c r="F84" s="33"/>
    </row>
    <row r="85" customFormat="false" ht="15" hidden="false" customHeight="false" outlineLevel="0" collapsed="false">
      <c r="A85" s="34" t="str">
        <f aca="false">IF(Input!A66="","",Input!A66)</f>
        <v>Imparidades de clientes (não recorrentes)</v>
      </c>
      <c r="B85" s="33"/>
      <c r="C85" s="33"/>
      <c r="D85" s="33"/>
      <c r="E85" s="33" t="n">
        <f aca="false">IF(AND(N(Input!C66)&lt;&gt;0,N(Input!D66)&lt;&gt;0,N(Input!E66)&lt;&gt;0),1,0)</f>
        <v>0</v>
      </c>
      <c r="F85" s="33"/>
    </row>
    <row r="86" customFormat="false" ht="15" hidden="false" customHeight="false" outlineLevel="0" collapsed="false">
      <c r="A86" s="34" t="str">
        <f aca="false">IF(Input!A67="","",Input!A67)</f>
        <v>Custos de arranque das novas instalações</v>
      </c>
      <c r="B86" s="33"/>
      <c r="C86" s="33"/>
      <c r="D86" s="33"/>
      <c r="E86" s="33" t="n">
        <f aca="false">IF(AND(N(Input!C67)&lt;&gt;0,N(Input!D67)&lt;&gt;0,N(Input!E67)&lt;&gt;0),1,0)</f>
        <v>0</v>
      </c>
      <c r="F86" s="33"/>
    </row>
    <row r="87" customFormat="false" ht="15" hidden="false" customHeight="false" outlineLevel="0" collapsed="false">
      <c r="A87" s="34" t="str">
        <f aca="false">IF(Input!A68="","",Input!A68)</f>
        <v/>
      </c>
      <c r="B87" s="33"/>
      <c r="C87" s="33"/>
      <c r="D87" s="33"/>
      <c r="E87" s="33" t="n">
        <f aca="false">IF(AND(N(Input!C68)&lt;&gt;0,N(Input!D68)&lt;&gt;0,N(Input!E68)&lt;&gt;0),1,0)</f>
        <v>0</v>
      </c>
      <c r="F87" s="33"/>
    </row>
    <row r="88" customFormat="false" ht="15" hidden="false" customHeight="false" outlineLevel="0" collapsed="false">
      <c r="A88" s="33"/>
      <c r="B88" s="33"/>
      <c r="C88" s="33"/>
      <c r="D88" s="33"/>
      <c r="E88" s="33"/>
      <c r="F88" s="3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4" min="3" style="0" width="30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2" min="10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7"/>
    <col collapsed="false" customWidth="true" hidden="false" outlineLevel="0" max="17" min="17" style="0" width="60"/>
    <col collapsed="false" customWidth="true" hidden="false" outlineLevel="0" max="18" min="18" style="0" width="34"/>
    <col collapsed="false" customWidth="true" hidden="false" outlineLevel="0" max="19" min="19" style="0" width="44"/>
    <col collapsed="false" customWidth="true" hidden="false" outlineLevel="0" max="20" min="20" style="0" width="34"/>
    <col collapsed="false" customWidth="true" hidden="false" outlineLevel="0" max="22" min="21" style="0" width="40"/>
  </cols>
  <sheetData>
    <row r="1" customFormat="false" ht="17.35" hidden="false" customHeight="false" outlineLevel="0" collapsed="false">
      <c r="A1" s="1" t="s">
        <v>287</v>
      </c>
    </row>
    <row r="2" customFormat="false" ht="15" hidden="false" customHeight="false" outlineLevel="0" collapsed="false">
      <c r="A2" s="2" t="s">
        <v>288</v>
      </c>
    </row>
    <row r="4" customFormat="false" ht="30" hidden="false" customHeight="true" outlineLevel="0" collapsed="false">
      <c r="A4" s="7" t="s">
        <v>289</v>
      </c>
      <c r="B4" s="8" t="s">
        <v>20</v>
      </c>
      <c r="C4" s="8" t="s">
        <v>19</v>
      </c>
      <c r="D4" s="8" t="s">
        <v>290</v>
      </c>
      <c r="E4" s="8" t="s">
        <v>291</v>
      </c>
      <c r="F4" s="8" t="s">
        <v>292</v>
      </c>
      <c r="G4" s="8" t="s">
        <v>293</v>
      </c>
      <c r="H4" s="8" t="s">
        <v>294</v>
      </c>
      <c r="I4" s="8" t="s">
        <v>295</v>
      </c>
      <c r="J4" s="8" t="s">
        <v>296</v>
      </c>
      <c r="K4" s="8" t="s">
        <v>297</v>
      </c>
      <c r="L4" s="8" t="s">
        <v>298</v>
      </c>
      <c r="M4" s="8" t="s">
        <v>299</v>
      </c>
      <c r="N4" s="8" t="s">
        <v>21</v>
      </c>
      <c r="O4" s="8" t="s">
        <v>25</v>
      </c>
      <c r="P4" s="8" t="s">
        <v>300</v>
      </c>
      <c r="Q4" s="8" t="s">
        <v>301</v>
      </c>
      <c r="R4" s="8" t="s">
        <v>24</v>
      </c>
      <c r="S4" s="8" t="s">
        <v>302</v>
      </c>
      <c r="T4" s="8" t="s">
        <v>27</v>
      </c>
      <c r="U4" s="8" t="s">
        <v>303</v>
      </c>
      <c r="V4" s="8" t="s">
        <v>304</v>
      </c>
    </row>
    <row r="5" customFormat="false" ht="40.5" hidden="false" customHeight="true" outlineLevel="0" collapsed="false">
      <c r="A5" s="10" t="s">
        <v>305</v>
      </c>
      <c r="B5" s="10" t="s">
        <v>170</v>
      </c>
      <c r="C5" s="10" t="s">
        <v>306</v>
      </c>
      <c r="D5" s="10" t="s">
        <v>185</v>
      </c>
      <c r="E5" s="10" t="s">
        <v>307</v>
      </c>
      <c r="F5" s="37" t="n">
        <v>0.2</v>
      </c>
      <c r="G5" s="38" t="n">
        <f aca="false">Métricas!C12</f>
        <v>0.15</v>
      </c>
      <c r="H5" s="38" t="n">
        <f aca="false">Métricas!D12</f>
        <v>0.180102040816327</v>
      </c>
      <c r="I5" s="38" t="n">
        <f aca="false">Métricas!E12</f>
        <v>0.238317757009346</v>
      </c>
      <c r="J5" s="11" t="str">
        <f aca="false">IF(ISNUMBER(G5),IF(G5&gt;$F5,"Sim","Não"),"n.d.")</f>
        <v>Não</v>
      </c>
      <c r="K5" s="11" t="str">
        <f aca="false">IF(ISNUMBER(H5),IF(H5&gt;$F5,"Sim","Não"),"n.d.")</f>
        <v>Não</v>
      </c>
      <c r="L5" s="11" t="str">
        <f aca="false">IF(ISNUMBER(I5),IF(I5&gt;$F5,"Sim","Não"),"n.d.")</f>
        <v>Sim</v>
      </c>
      <c r="M5" s="10" t="str">
        <f aca="false">IF(COUNTIF(J5:L5,"Sim")&gt;0,"Sim","Não")</f>
        <v>Sim</v>
      </c>
      <c r="N5" s="10" t="str">
        <f aca="false">MID(IF(J5="Sim",", 2023","")&amp;IF(K5="Sim",", 2024","")&amp;IF(L5="Sim",", 2025",""),3,20)</f>
        <v>2025</v>
      </c>
      <c r="O5" s="12" t="s">
        <v>308</v>
      </c>
      <c r="P5" s="10" t="n">
        <f aca="false">IF(M5="Sim",COUNTIF(M$5:M5,"Sim"),"")</f>
        <v>1</v>
      </c>
      <c r="Q5" s="10" t="str">
        <f aca="false">IFERROR("Maior cliente em % das vendas — "&amp;"2023: "&amp;ROUND(Métricas!C12*100,1)&amp;"%"&amp;"; 2024: "&amp;ROUND(Métricas!D12*100,1)&amp;"%"&amp;"; 2025: "&amp;ROUND(Métricas!E12*100,1)&amp;"%"&amp;" ("&amp;Métricas!E13&amp;" em 2025). Fonte: "&amp;Input!$F$6&amp;"; "&amp;Input!$F$49&amp;" e seguintes","Ver folha Métricas")</f>
        <v>Maior cliente em % das vendas — 2023: 15%; 2024: 18%; 2025: 23.8% (Cliente A em 2025). Fonte: DRE!B5:D5; Vendas por Cliente!C5:G5 e seguintes</v>
      </c>
      <c r="R5" s="10" t="s">
        <v>309</v>
      </c>
      <c r="S5" s="10" t="s">
        <v>310</v>
      </c>
      <c r="T5" s="10" t="s">
        <v>311</v>
      </c>
      <c r="U5" s="10" t="s">
        <v>312</v>
      </c>
      <c r="V5" s="10" t="str">
        <f aca="false">"R01"&amp;" · "&amp;C5&amp;" (limite: "&amp;ROUND(F5*100,0)&amp;"%"&amp;")"</f>
        <v>R01 · Maior cliente acima do limite (limite: 20%)</v>
      </c>
    </row>
    <row r="6" customFormat="false" ht="40.5" hidden="false" customHeight="true" outlineLevel="0" collapsed="false">
      <c r="A6" s="10" t="s">
        <v>313</v>
      </c>
      <c r="B6" s="10" t="s">
        <v>170</v>
      </c>
      <c r="C6" s="10" t="s">
        <v>314</v>
      </c>
      <c r="D6" s="10" t="s">
        <v>315</v>
      </c>
      <c r="E6" s="10" t="s">
        <v>307</v>
      </c>
      <c r="F6" s="37" t="n">
        <v>0.05</v>
      </c>
      <c r="G6" s="38" t="str">
        <f aca="false">Métricas!C9</f>
        <v>n.d.</v>
      </c>
      <c r="H6" s="38" t="n">
        <f aca="false">Métricas!D9</f>
        <v>0</v>
      </c>
      <c r="I6" s="38" t="n">
        <f aca="false">Métricas!E9</f>
        <v>0.0607476635514019</v>
      </c>
      <c r="J6" s="11" t="str">
        <f aca="false">IF(ISNUMBER(G6),IF(G6&gt;$F6,"Sim","Não"),"n.d.")</f>
        <v>n.d.</v>
      </c>
      <c r="K6" s="11" t="str">
        <f aca="false">IF(ISNUMBER(H6),IF(H6&gt;$F6,"Sim","Não"),"n.d.")</f>
        <v>Não</v>
      </c>
      <c r="L6" s="11" t="str">
        <f aca="false">IF(ISNUMBER(I6),IF(I6&gt;$F6,"Sim","Não"),"n.d.")</f>
        <v>Sim</v>
      </c>
      <c r="M6" s="10" t="str">
        <f aca="false">IF(COUNTIF(J6:L6,"Sim")&gt;0,"Sim","Não")</f>
        <v>Sim</v>
      </c>
      <c r="N6" s="10" t="str">
        <f aca="false">MID(IF(J6="Sim",", 2023","")&amp;IF(K6="Sim",", 2024","")&amp;IF(L6="Sim",", 2025",""),3,20)</f>
        <v>2025</v>
      </c>
      <c r="O6" s="12" t="s">
        <v>308</v>
      </c>
      <c r="P6" s="10" t="n">
        <f aca="false">IF(M6="Sim",COUNTIF(M$5:M6,"Sim"),"")</f>
        <v>2</v>
      </c>
      <c r="Q6" s="10" t="str">
        <f aca="false">IFERROR("Clientes novos em 2025: "&amp;ROUND(Métricas!E9*100,1)&amp;"%"&amp;" das vendas ("&amp;Métricas!E10&amp;", "&amp;ROUND(Métricas!E8,0)&amp;"). Vendas: +"&amp;ROUND(Métricas!E7*100,1)&amp;"%"&amp;"; sem clientes novos: "&amp;ROUND(Métricas!E11*100,1)&amp;"%"&amp;". Fonte: "&amp;Input!$F$49&amp;" e seguintes","Ver folha Métricas")</f>
        <v>Clientes novos em 2025: 6.1% das vendas (Cliente K, 1300). Vendas: +9.2%; sem clientes novos: 2.6%. Fonte: Vendas por Cliente!C5:G5 e seguintes</v>
      </c>
      <c r="R6" s="10" t="s">
        <v>316</v>
      </c>
      <c r="S6" s="10" t="s">
        <v>317</v>
      </c>
      <c r="T6" s="10" t="s">
        <v>318</v>
      </c>
      <c r="U6" s="10" t="s">
        <v>319</v>
      </c>
      <c r="V6" s="10" t="str">
        <f aca="false">"R02"&amp;" · "&amp;C6&amp;" (limite: "&amp;ROUND(F6*100,0)&amp;"%"&amp;")"</f>
        <v>R02 · Cliente novo com peso relevante nas vendas (limite: 5%)</v>
      </c>
    </row>
    <row r="7" customFormat="false" ht="40.5" hidden="false" customHeight="true" outlineLevel="0" collapsed="false">
      <c r="A7" s="10" t="s">
        <v>320</v>
      </c>
      <c r="B7" s="10" t="s">
        <v>321</v>
      </c>
      <c r="C7" s="10" t="s">
        <v>322</v>
      </c>
      <c r="D7" s="10" t="s">
        <v>323</v>
      </c>
      <c r="E7" s="10" t="s">
        <v>324</v>
      </c>
      <c r="F7" s="39" t="n">
        <v>3</v>
      </c>
      <c r="G7" s="40" t="str">
        <f aca="false">Métricas!C18</f>
        <v>n.d.</v>
      </c>
      <c r="H7" s="40" t="n">
        <f aca="false">Métricas!D18</f>
        <v>-0.372670807453418</v>
      </c>
      <c r="I7" s="40" t="n">
        <f aca="false">Métricas!E18</f>
        <v>-3.49465954606142</v>
      </c>
      <c r="J7" s="11" t="str">
        <f aca="false">IF(ISNUMBER(G7),IF(ABS(G7)&gt;$F7,"Sim","Não"),"n.d.")</f>
        <v>n.d.</v>
      </c>
      <c r="K7" s="11" t="str">
        <f aca="false">IF(ISNUMBER(H7),IF(ABS(H7)&gt;$F7,"Sim","Não"),"n.d.")</f>
        <v>Não</v>
      </c>
      <c r="L7" s="11" t="str">
        <f aca="false">IF(ISNUMBER(I7),IF(ABS(I7)&gt;$F7,"Sim","Não"),"n.d.")</f>
        <v>Sim</v>
      </c>
      <c r="M7" s="10" t="str">
        <f aca="false">IF(COUNTIF(J7:L7,"Sim")&gt;0,"Sim","Não")</f>
        <v>Sim</v>
      </c>
      <c r="N7" s="10" t="str">
        <f aca="false">MID(IF(J7="Sim",", 2023","")&amp;IF(K7="Sim",", 2024","")&amp;IF(L7="Sim",", 2025",""),3,20)</f>
        <v>2025</v>
      </c>
      <c r="O7" s="12" t="s">
        <v>308</v>
      </c>
      <c r="P7" s="10" t="n">
        <f aca="false">IF(M7="Sim",COUNTIF(M$5:M7,"Sim"),"")</f>
        <v>3</v>
      </c>
      <c r="Q7" s="10" t="str">
        <f aca="false">IFERROR("Margem bruta — "&amp;"2023: "&amp;ROUND(Métricas!C17*100,1)&amp;"%"&amp;"; 2024: "&amp;ROUND(Métricas!D17*100,1)&amp;"%"&amp;"; 2025: "&amp;ROUND(Métricas!E17*100,1)&amp;"%"&amp;" (variação em 2025: "&amp;ROUND(Métricas!E18,1)&amp;" p.p.). Fonte: "&amp;Input!$F$6&amp;"; "&amp;Input!$F$7,"Ver folha Métricas")</f>
        <v>Margem bruta — 2023: 28.6%; 2024: 28.2%; 2025: 24.7% (variação em 2025: -3.5 p.p.). Fonte: DRE!B5:D5; DRE!B6:D6</v>
      </c>
      <c r="R7" s="10" t="s">
        <v>325</v>
      </c>
      <c r="S7" s="10" t="s">
        <v>326</v>
      </c>
      <c r="T7" s="10" t="s">
        <v>327</v>
      </c>
      <c r="U7" s="10" t="s">
        <v>328</v>
      </c>
      <c r="V7" s="10" t="str">
        <f aca="false">"R03"&amp;" · "&amp;C7&amp;" (limite: "&amp;F7&amp;" p.p."&amp;")"</f>
        <v>R03 · Variação forte da margem bruta (limite: 3 p.p.)</v>
      </c>
    </row>
    <row r="8" customFormat="false" ht="40.5" hidden="false" customHeight="true" outlineLevel="0" collapsed="false">
      <c r="A8" s="10" t="s">
        <v>329</v>
      </c>
      <c r="B8" s="10" t="s">
        <v>330</v>
      </c>
      <c r="C8" s="10" t="s">
        <v>331</v>
      </c>
      <c r="D8" s="10" t="s">
        <v>202</v>
      </c>
      <c r="E8" s="10" t="s">
        <v>307</v>
      </c>
      <c r="F8" s="37" t="n">
        <v>0.01</v>
      </c>
      <c r="G8" s="38" t="n">
        <f aca="false">Métricas!C21</f>
        <v>0.00244565217391304</v>
      </c>
      <c r="H8" s="38" t="n">
        <f aca="false">Métricas!D21</f>
        <v>0.00255102040816327</v>
      </c>
      <c r="I8" s="38" t="n">
        <f aca="false">Métricas!E21</f>
        <v>0.0144859813084112</v>
      </c>
      <c r="J8" s="11" t="str">
        <f aca="false">IF(ISNUMBER(G8),IF(G8&gt;$F8,"Sim","Não"),"n.d.")</f>
        <v>Não</v>
      </c>
      <c r="K8" s="11" t="str">
        <f aca="false">IF(ISNUMBER(H8),IF(H8&gt;$F8,"Sim","Não"),"n.d.")</f>
        <v>Não</v>
      </c>
      <c r="L8" s="11" t="str">
        <f aca="false">IF(ISNUMBER(I8),IF(I8&gt;$F8,"Sim","Não"),"n.d.")</f>
        <v>Sim</v>
      </c>
      <c r="M8" s="10" t="str">
        <f aca="false">IF(COUNTIF(J8:L8,"Sim")&gt;0,"Sim","Não")</f>
        <v>Sim</v>
      </c>
      <c r="N8" s="10" t="str">
        <f aca="false">MID(IF(J8="Sim",", 2023","")&amp;IF(K8="Sim",", 2024","")&amp;IF(L8="Sim",", 2025",""),3,20)</f>
        <v>2025</v>
      </c>
      <c r="O8" s="12" t="s">
        <v>308</v>
      </c>
      <c r="P8" s="10" t="n">
        <f aca="false">IF(M8="Sim",COUNTIF(M$5:M8,"Sim"),"")</f>
        <v>4</v>
      </c>
      <c r="Q8" s="10" t="str">
        <f aca="false">IFERROR("Outros rendimentos — 2023: "&amp;ROUND(Input!C11,0)&amp;"; 2024: "&amp;ROUND(Input!D11,0)&amp;"; 2025: "&amp;ROUND(Input!E11,0)&amp;" ("&amp;ROUND(Métricas!E21*100,1)&amp;"%"&amp;" das vendas; variação de "&amp;ROUND(Métricas!E22*100,1)&amp;"%"&amp;"). Fonte: "&amp;Input!$F$11,"Ver folha Métricas")</f>
        <v>Outros rendimentos — 2023: 45; 2024: 50; 2025: 310 (1.4% das vendas; variação de 520%). Fonte: DRE!B11:D11</v>
      </c>
      <c r="R8" s="10" t="s">
        <v>332</v>
      </c>
      <c r="S8" s="10" t="s">
        <v>333</v>
      </c>
      <c r="T8" s="10" t="s">
        <v>334</v>
      </c>
      <c r="U8" s="10" t="s">
        <v>335</v>
      </c>
      <c r="V8" s="10" t="str">
        <f aca="false">"R04"&amp;" · "&amp;C8&amp;" (limite: "&amp;ROUND(F8*100,0)&amp;"%"&amp;")"</f>
        <v>R04 · Outros rendimentos relevantes dentro do EBITDA (limite: 1%)</v>
      </c>
    </row>
    <row r="9" customFormat="false" ht="40.5" hidden="false" customHeight="true" outlineLevel="0" collapsed="false">
      <c r="A9" s="10" t="s">
        <v>336</v>
      </c>
      <c r="B9" s="10" t="s">
        <v>330</v>
      </c>
      <c r="C9" s="10" t="s">
        <v>337</v>
      </c>
      <c r="D9" s="10" t="s">
        <v>216</v>
      </c>
      <c r="E9" s="10" t="s">
        <v>307</v>
      </c>
      <c r="F9" s="37" t="n">
        <v>0.1</v>
      </c>
      <c r="G9" s="38" t="n">
        <f aca="false">Métricas!C28</f>
        <v>0.0576923076923077</v>
      </c>
      <c r="H9" s="38" t="n">
        <f aca="false">Métricas!D28</f>
        <v>0.0945121951219512</v>
      </c>
      <c r="I9" s="38" t="n">
        <f aca="false">Métricas!E28</f>
        <v>0.321554770318021</v>
      </c>
      <c r="J9" s="11" t="str">
        <f aca="false">IF(ISNUMBER(G9),IF(G9&gt;$F9,"Sim","Não"),"n.d.")</f>
        <v>Não</v>
      </c>
      <c r="K9" s="11" t="str">
        <f aca="false">IF(ISNUMBER(H9),IF(H9&gt;$F9,"Sim","Não"),"n.d.")</f>
        <v>Não</v>
      </c>
      <c r="L9" s="11" t="str">
        <f aca="false">IF(ISNUMBER(I9),IF(I9&gt;$F9,"Sim","Não"),"n.d.")</f>
        <v>Sim</v>
      </c>
      <c r="M9" s="10" t="str">
        <f aca="false">IF(COUNTIF(J9:L9,"Sim")&gt;0,"Sim","Não")</f>
        <v>Sim</v>
      </c>
      <c r="N9" s="10" t="str">
        <f aca="false">MID(IF(J9="Sim",", 2023","")&amp;IF(K9="Sim",", 2024","")&amp;IF(L9="Sim",", 2025",""),3,20)</f>
        <v>2025</v>
      </c>
      <c r="O9" s="12" t="s">
        <v>308</v>
      </c>
      <c r="P9" s="10" t="n">
        <f aca="false">IF(M9="Sim",COUNTIF(M$5:M9,"Sim"),"")</f>
        <v>5</v>
      </c>
      <c r="Q9" s="10" t="str">
        <f aca="false">IFERROR("Ajustes em % do EBITDA reportado — "&amp;"2023: "&amp;ROUND(Métricas!C28*100,1)&amp;"%"&amp;"; 2024: "&amp;ROUND(Métricas!D28*100,1)&amp;"%"&amp;"; 2025: "&amp;ROUND(Métricas!E28*100,1)&amp;"%"&amp;". EBITDA 2025: reportado "&amp;ROUND(Métricas!E19,0)&amp;", ajustado pela gestão "&amp;ROUND(Métricas!E27,0)&amp;". Fonte: "&amp;Input!$F$64&amp;" e seguintes; "&amp;Input!$F$6,"Ver folha Métricas")</f>
        <v>Ajustes em % do EBITDA reportado — 2023: 5.8%; 2024: 9.5%; 2025: 32.2%. EBITDA 2025: reportado 1415, ajustado pela gestão 1870. Fonte: EBITDA Ajustado!B8:D8 e seguintes; DRE!B5:D5</v>
      </c>
      <c r="R9" s="10" t="s">
        <v>338</v>
      </c>
      <c r="S9" s="10" t="s">
        <v>339</v>
      </c>
      <c r="T9" s="10" t="s">
        <v>340</v>
      </c>
      <c r="U9" s="10" t="s">
        <v>341</v>
      </c>
      <c r="V9" s="10" t="str">
        <f aca="false">"R05"&amp;" · "&amp;C9&amp;" (limite: "&amp;ROUND(F9*100,0)&amp;"%"&amp;")"</f>
        <v>R05 · Ajustes da gestão elevados (limite: 10%)</v>
      </c>
    </row>
    <row r="10" customFormat="false" ht="40.5" hidden="false" customHeight="true" outlineLevel="0" collapsed="false">
      <c r="A10" s="10" t="s">
        <v>342</v>
      </c>
      <c r="B10" s="10" t="s">
        <v>330</v>
      </c>
      <c r="C10" s="10" t="s">
        <v>343</v>
      </c>
      <c r="D10" s="10" t="s">
        <v>344</v>
      </c>
      <c r="E10" s="10" t="s">
        <v>307</v>
      </c>
      <c r="F10" s="41" t="n">
        <v>0</v>
      </c>
      <c r="G10" s="42" t="str">
        <f aca="false">Métricas!C29</f>
        <v>n.d.</v>
      </c>
      <c r="H10" s="42" t="str">
        <f aca="false">Métricas!D29</f>
        <v>n.d.</v>
      </c>
      <c r="I10" s="42" t="n">
        <f aca="false">Métricas!E29</f>
        <v>1</v>
      </c>
      <c r="J10" s="11" t="str">
        <f aca="false">IF(ISNUMBER(G10),IF(G10&gt;$F10,"Sim","Não"),"n.d.")</f>
        <v>n.d.</v>
      </c>
      <c r="K10" s="11" t="str">
        <f aca="false">IF(ISNUMBER(H10),IF(H10&gt;$F10,"Sim","Não"),"n.d.")</f>
        <v>n.d.</v>
      </c>
      <c r="L10" s="11" t="str">
        <f aca="false">IF(ISNUMBER(I10),IF(I10&gt;$F10,"Sim","Não"),"n.d.")</f>
        <v>Sim</v>
      </c>
      <c r="M10" s="10" t="str">
        <f aca="false">IF(COUNTIF(J10:L10,"Sim")&gt;0,"Sim","Não")</f>
        <v>Sim</v>
      </c>
      <c r="N10" s="10" t="str">
        <f aca="false">MID(IF(J10="Sim",", 2023","")&amp;IF(K10="Sim",", 2024","")&amp;IF(L10="Sim",", 2025",""),3,20)</f>
        <v>2025</v>
      </c>
      <c r="O10" s="12" t="s">
        <v>345</v>
      </c>
      <c r="P10" s="10" t="n">
        <f aca="false">IF(M10="Sim",COUNTIF(M$5:M10,"Sim"),"")</f>
        <v>6</v>
      </c>
      <c r="Q10" s="10" t="str">
        <f aca="false">IFERROR(ROUND(Métricas!E29,0)&amp;" ajuste(s) aparece(m) em 2023, 2024 e 2025 (ex.: "&amp;Métricas!E30&amp;"). Fonte: "&amp;Input!$F$64&amp;" e seguintes","Ver folha Métricas")</f>
        <v>1 ajuste(s) aparece(m) em 2023, 2024 e 2025 (ex.: Custos de reestruturação). Fonte: EBITDA Ajustado!B8:D8 e seguintes</v>
      </c>
      <c r="R10" s="10" t="s">
        <v>346</v>
      </c>
      <c r="S10" s="10" t="s">
        <v>347</v>
      </c>
      <c r="T10" s="10" t="s">
        <v>348</v>
      </c>
      <c r="U10" s="10" t="s">
        <v>349</v>
      </c>
      <c r="V10" s="10" t="str">
        <f aca="false">"R06"&amp;" · "&amp;C10&amp;" (limite: "&amp;"mais de "&amp;F10&amp;")"</f>
        <v>R06 · Ajuste 'não recorrente' que se repete todos os anos (limite: mais de 0)</v>
      </c>
    </row>
    <row r="11" customFormat="false" ht="40.5" hidden="false" customHeight="true" outlineLevel="0" collapsed="false">
      <c r="A11" s="10" t="s">
        <v>350</v>
      </c>
      <c r="B11" s="10" t="s">
        <v>221</v>
      </c>
      <c r="C11" s="10" t="s">
        <v>351</v>
      </c>
      <c r="D11" s="10" t="s">
        <v>352</v>
      </c>
      <c r="E11" s="10" t="s">
        <v>307</v>
      </c>
      <c r="F11" s="39" t="n">
        <v>10</v>
      </c>
      <c r="G11" s="40" t="str">
        <f aca="false">Métricas!C33</f>
        <v>n.d.</v>
      </c>
      <c r="H11" s="40" t="n">
        <f aca="false">Métricas!D33</f>
        <v>1.73426086956521</v>
      </c>
      <c r="I11" s="40" t="n">
        <f aca="false">Métricas!E33</f>
        <v>15.6167994836125</v>
      </c>
      <c r="J11" s="11" t="str">
        <f aca="false">IF(ISNUMBER(G11),IF(G11&gt;$F11,"Sim","Não"),"n.d.")</f>
        <v>n.d.</v>
      </c>
      <c r="K11" s="11" t="str">
        <f aca="false">IF(ISNUMBER(H11),IF(H11&gt;$F11,"Sim","Não"),"n.d.")</f>
        <v>Não</v>
      </c>
      <c r="L11" s="11" t="str">
        <f aca="false">IF(ISNUMBER(I11),IF(I11&gt;$F11,"Sim","Não"),"n.d.")</f>
        <v>Sim</v>
      </c>
      <c r="M11" s="10" t="str">
        <f aca="false">IF(COUNTIF(J11:L11,"Sim")&gt;0,"Sim","Não")</f>
        <v>Sim</v>
      </c>
      <c r="N11" s="10" t="str">
        <f aca="false">MID(IF(J11="Sim",", 2023","")&amp;IF(K11="Sim",", 2024","")&amp;IF(L11="Sim",", 2025",""),3,20)</f>
        <v>2025</v>
      </c>
      <c r="O11" s="12" t="s">
        <v>308</v>
      </c>
      <c r="P11" s="10" t="n">
        <f aca="false">IF(M11="Sim",COUNTIF(M$5:M11,"Sim"),"")</f>
        <v>7</v>
      </c>
      <c r="Q11" s="10" t="str">
        <f aca="false">IFERROR("Clientes +"&amp;ROUND(Métricas!E32*100,1)&amp;"%"&amp;" vs. vendas +"&amp;ROUND(Métricas!E7*100,1)&amp;"%"&amp;" em 2025 (diferença de "&amp;ROUND(Métricas!E33,1)&amp;" p.p.; 2024: "&amp;ROUND(Métricas!D33,1)&amp;" p.p.). DSO: "&amp;ROUND(Métricas!D34,1)&amp;" → "&amp;ROUND(Métricas!E34,1)&amp;" dias. Fonte: "&amp;Input!$F$22&amp;"; "&amp;Input!$F$6,"Ver folha Métricas")</f>
        <v>Clientes +24.8% vs. vendas +9.2% em 2025 (diferença de 15.6 p.p.; 2024: 1.7 p.p.). DSO: 63 → 72 dias. Fonte: Balanço!B9:E9; DRE!B5:D5</v>
      </c>
      <c r="R11" s="10" t="s">
        <v>353</v>
      </c>
      <c r="S11" s="10" t="s">
        <v>354</v>
      </c>
      <c r="T11" s="10" t="s">
        <v>355</v>
      </c>
      <c r="U11" s="10" t="s">
        <v>356</v>
      </c>
      <c r="V11" s="10" t="str">
        <f aca="false">"R07"&amp;" · "&amp;C11&amp;" (limite: "&amp;F11&amp;" p.p."&amp;")"</f>
        <v>R07 · Contas a receber crescem acima das vendas (limite: 10 p.p.)</v>
      </c>
    </row>
    <row r="12" customFormat="false" ht="39.75" hidden="false" customHeight="true" outlineLevel="0" collapsed="false">
      <c r="A12" s="10" t="s">
        <v>357</v>
      </c>
      <c r="B12" s="10" t="s">
        <v>221</v>
      </c>
      <c r="C12" s="10" t="s">
        <v>358</v>
      </c>
      <c r="D12" s="10" t="s">
        <v>359</v>
      </c>
      <c r="E12" s="10" t="s">
        <v>307</v>
      </c>
      <c r="F12" s="43" t="n">
        <v>15</v>
      </c>
      <c r="G12" s="44" t="str">
        <f aca="false">Métricas!C35</f>
        <v>n.d.</v>
      </c>
      <c r="H12" s="44" t="n">
        <f aca="false">Métricas!D35</f>
        <v>1.0092557675244</v>
      </c>
      <c r="I12" s="44" t="n">
        <f aca="false">Métricas!E35</f>
        <v>9.01100276559222</v>
      </c>
      <c r="J12" s="11" t="str">
        <f aca="false">IF(ISNUMBER(G12),IF(G12&gt;$F12,"Sim","Não"),"n.d.")</f>
        <v>n.d.</v>
      </c>
      <c r="K12" s="11" t="str">
        <f aca="false">IF(ISNUMBER(H12),IF(H12&gt;$F12,"Sim","Não"),"n.d.")</f>
        <v>Não</v>
      </c>
      <c r="L12" s="11" t="str">
        <f aca="false">IF(ISNUMBER(I12),IF(I12&gt;$F12,"Sim","Não"),"n.d.")</f>
        <v>Não</v>
      </c>
      <c r="M12" s="10" t="str">
        <f aca="false">IF(COUNTIF(J12:L12,"Sim")&gt;0,"Sim","Não")</f>
        <v>Não</v>
      </c>
      <c r="N12" s="10" t="str">
        <f aca="false">MID(IF(J12="Sim",", 2023","")&amp;IF(K12="Sim",", 2024","")&amp;IF(L12="Sim",", 2025",""),3,20)</f>
        <v/>
      </c>
      <c r="O12" s="12" t="s">
        <v>345</v>
      </c>
      <c r="P12" s="10" t="str">
        <f aca="false">IF(M12="Sim",COUNTIF(M$5:M12,"Sim"),"")</f>
        <v/>
      </c>
      <c r="Q12" s="10" t="str">
        <f aca="false">IFERROR("DSO — "&amp;"2023: "&amp;ROUND(Métricas!C34,1)&amp;"; 2024: "&amp;ROUND(Métricas!D34,1)&amp;"; 2025: "&amp;ROUND(Métricas!E34,1)&amp;" dias. Fonte: "&amp;Input!$F$22&amp;"; "&amp;Input!$F$6,"Ver folha Métricas")</f>
        <v>DSO — 2023: 62; 2024: 63; 2025: 72 dias. Fonte: Balanço!B9:E9; DRE!B5:D5</v>
      </c>
      <c r="R12" s="10" t="s">
        <v>360</v>
      </c>
      <c r="S12" s="10" t="s">
        <v>361</v>
      </c>
      <c r="T12" s="10" t="s">
        <v>362</v>
      </c>
      <c r="U12" s="10" t="s">
        <v>363</v>
      </c>
      <c r="V12" s="10" t="str">
        <f aca="false">"R08"&amp;" · "&amp;C12&amp;" (limite: "&amp;F12&amp;" dias"&amp;")"</f>
        <v>R08 · Aumento forte do prazo de recebimento (limite: 15 dias)</v>
      </c>
    </row>
    <row r="13" customFormat="false" ht="40.5" hidden="false" customHeight="true" outlineLevel="0" collapsed="false">
      <c r="A13" s="10" t="s">
        <v>364</v>
      </c>
      <c r="B13" s="10" t="s">
        <v>221</v>
      </c>
      <c r="C13" s="10" t="s">
        <v>365</v>
      </c>
      <c r="D13" s="10" t="s">
        <v>366</v>
      </c>
      <c r="E13" s="10" t="s">
        <v>307</v>
      </c>
      <c r="F13" s="39" t="n">
        <v>10</v>
      </c>
      <c r="G13" s="40" t="str">
        <f aca="false">Métricas!C38</f>
        <v>n.d.</v>
      </c>
      <c r="H13" s="40" t="n">
        <f aca="false">Métricas!D38</f>
        <v>1.48718924403857</v>
      </c>
      <c r="I13" s="40" t="n">
        <f aca="false">Métricas!E38</f>
        <v>10.9808102345416</v>
      </c>
      <c r="J13" s="11" t="str">
        <f aca="false">IF(ISNUMBER(G13),IF(G13&gt;$F13,"Sim","Não"),"n.d.")</f>
        <v>n.d.</v>
      </c>
      <c r="K13" s="11" t="str">
        <f aca="false">IF(ISNUMBER(H13),IF(H13&gt;$F13,"Sim","Não"),"n.d.")</f>
        <v>Não</v>
      </c>
      <c r="L13" s="11" t="str">
        <f aca="false">IF(ISNUMBER(I13),IF(I13&gt;$F13,"Sim","Não"),"n.d.")</f>
        <v>Sim</v>
      </c>
      <c r="M13" s="10" t="str">
        <f aca="false">IF(COUNTIF(J13:L13,"Sim")&gt;0,"Sim","Não")</f>
        <v>Sim</v>
      </c>
      <c r="N13" s="10" t="str">
        <f aca="false">MID(IF(J13="Sim",", 2023","")&amp;IF(K13="Sim",", 2024","")&amp;IF(L13="Sim",", 2025",""),3,20)</f>
        <v>2025</v>
      </c>
      <c r="O13" s="12" t="s">
        <v>345</v>
      </c>
      <c r="P13" s="10" t="n">
        <f aca="false">IF(M13="Sim",COUNTIF(M$5:M13,"Sim"),"")</f>
        <v>8</v>
      </c>
      <c r="Q13" s="10" t="str">
        <f aca="false">IFERROR("Inventários +"&amp;ROUND(Métricas!E36*100,1)&amp;"%"&amp;" vs. CMV +"&amp;ROUND(Métricas!E37*100,1)&amp;"%"&amp;" em 2025 (diferença de "&amp;ROUND(Métricas!E38,1)&amp;" p.p.). DIO: "&amp;ROUND(Métricas!D39,1)&amp;" → "&amp;ROUND(Métricas!E39,1)&amp;" dias. Fonte: "&amp;Input!$F$21&amp;"; "&amp;Input!$F$7,"Ver folha Métricas")</f>
        <v>Inventários +25.5% vs. CMV +14.5% em 2025 (diferença de 11 p.p.). DIO: 73 → 80 dias. Fonte: Balanço!B8:E8; DRE!B6:D6</v>
      </c>
      <c r="R13" s="10" t="s">
        <v>367</v>
      </c>
      <c r="S13" s="10" t="s">
        <v>368</v>
      </c>
      <c r="T13" s="10" t="s">
        <v>369</v>
      </c>
      <c r="U13" s="10" t="s">
        <v>370</v>
      </c>
      <c r="V13" s="10" t="str">
        <f aca="false">"R09"&amp;" · "&amp;C13&amp;" (limite: "&amp;F13&amp;" p.p."&amp;")"</f>
        <v>R09 · Inventários crescem acima do CMV (limite: 10 p.p.)</v>
      </c>
    </row>
    <row r="14" customFormat="false" ht="40.5" hidden="false" customHeight="true" outlineLevel="0" collapsed="false">
      <c r="A14" s="10" t="s">
        <v>371</v>
      </c>
      <c r="B14" s="10" t="s">
        <v>242</v>
      </c>
      <c r="C14" s="10" t="s">
        <v>372</v>
      </c>
      <c r="D14" s="10" t="s">
        <v>246</v>
      </c>
      <c r="E14" s="10" t="s">
        <v>373</v>
      </c>
      <c r="F14" s="37" t="n">
        <v>0.7</v>
      </c>
      <c r="G14" s="38" t="n">
        <f aca="false">Métricas!C44</f>
        <v>0.892948717948718</v>
      </c>
      <c r="H14" s="38" t="n">
        <f aca="false">Métricas!D44</f>
        <v>0.871341463414634</v>
      </c>
      <c r="I14" s="38" t="n">
        <f aca="false">Métricas!E44</f>
        <v>0.204946996466431</v>
      </c>
      <c r="J14" s="11" t="str">
        <f aca="false">IF(ISNUMBER(G14),IF(G14&lt;$F14,"Sim","Não"),"n.d.")</f>
        <v>Não</v>
      </c>
      <c r="K14" s="11" t="str">
        <f aca="false">IF(ISNUMBER(H14),IF(H14&lt;$F14,"Sim","Não"),"n.d.")</f>
        <v>Não</v>
      </c>
      <c r="L14" s="11" t="str">
        <f aca="false">IF(ISNUMBER(I14),IF(I14&lt;$F14,"Sim","Não"),"n.d.")</f>
        <v>Sim</v>
      </c>
      <c r="M14" s="10" t="str">
        <f aca="false">IF(COUNTIF(J14:L14,"Sim")&gt;0,"Sim","Não")</f>
        <v>Sim</v>
      </c>
      <c r="N14" s="10" t="str">
        <f aca="false">MID(IF(J14="Sim",", 2023","")&amp;IF(K14="Sim",", 2024","")&amp;IF(L14="Sim",", 2025",""),3,20)</f>
        <v>2025</v>
      </c>
      <c r="O14" s="12" t="s">
        <v>308</v>
      </c>
      <c r="P14" s="10" t="n">
        <f aca="false">IF(M14="Sim",COUNTIF(M$5:M14,"Sim"),"")</f>
        <v>9</v>
      </c>
      <c r="Q14" s="10" t="str">
        <f aca="false">IFERROR("Conversão de caixa — "&amp;"2023: "&amp;ROUND(Métricas!C44*100,1)&amp;"%"&amp;"; 2024: "&amp;ROUND(Métricas!D44*100,1)&amp;"%"&amp;"; 2025: "&amp;ROUND(Métricas!E44*100,1)&amp;"%"&amp;". FCO 2025: "&amp;ROUND(Métricas!E45,0)&amp;". Fonte: "&amp;Input!$F$40&amp;"; "&amp;Input!$F$6,"Ver folha Métricas")</f>
        <v>Conversão de caixa — 2023: 89.3%; 2024: 87.1%; 2025: 20.5%. FCO 2025: -114. Fonte: DFC!B15:D15; DRE!B5:D5</v>
      </c>
      <c r="R14" s="10" t="s">
        <v>374</v>
      </c>
      <c r="S14" s="10" t="s">
        <v>375</v>
      </c>
      <c r="T14" s="10" t="s">
        <v>376</v>
      </c>
      <c r="U14" s="10" t="s">
        <v>377</v>
      </c>
      <c r="V14" s="10" t="str">
        <f aca="false">"R10"&amp;" · "&amp;C14&amp;" (limite: "&amp;ROUND(F14*100,0)&amp;"%"&amp;")"</f>
        <v>R10 · Fraca conversão do EBITDA em caixa (limite: 70%)</v>
      </c>
    </row>
    <row r="15" customFormat="false" ht="40.5" hidden="false" customHeight="true" outlineLevel="0" collapsed="false">
      <c r="A15" s="10" t="s">
        <v>378</v>
      </c>
      <c r="B15" s="10" t="s">
        <v>253</v>
      </c>
      <c r="C15" s="10" t="s">
        <v>379</v>
      </c>
      <c r="D15" s="10" t="s">
        <v>257</v>
      </c>
      <c r="E15" s="10" t="s">
        <v>307</v>
      </c>
      <c r="F15" s="37" t="n">
        <v>0.4</v>
      </c>
      <c r="G15" s="38" t="n">
        <f aca="false">Métricas!C50</f>
        <v>0.185185185185185</v>
      </c>
      <c r="H15" s="38" t="n">
        <f aca="false">Métricas!D50</f>
        <v>0.207792207792208</v>
      </c>
      <c r="I15" s="38" t="n">
        <f aca="false">Métricas!E50</f>
        <v>0.551724137931035</v>
      </c>
      <c r="J15" s="11" t="str">
        <f aca="false">IF(ISNUMBER(G15),IF(G15&gt;$F15,"Sim","Não"),"n.d.")</f>
        <v>Não</v>
      </c>
      <c r="K15" s="11" t="str">
        <f aca="false">IF(ISNUMBER(H15),IF(H15&gt;$F15,"Sim","Não"),"n.d.")</f>
        <v>Não</v>
      </c>
      <c r="L15" s="11" t="str">
        <f aca="false">IF(ISNUMBER(I15),IF(I15&gt;$F15,"Sim","Não"),"n.d.")</f>
        <v>Sim</v>
      </c>
      <c r="M15" s="10" t="str">
        <f aca="false">IF(COUNTIF(J15:L15,"Sim")&gt;0,"Sim","Não")</f>
        <v>Sim</v>
      </c>
      <c r="N15" s="10" t="str">
        <f aca="false">MID(IF(J15="Sim",", 2023","")&amp;IF(K15="Sim",", 2024","")&amp;IF(L15="Sim",", 2025",""),3,20)</f>
        <v>2025</v>
      </c>
      <c r="O15" s="12" t="s">
        <v>308</v>
      </c>
      <c r="P15" s="10" t="n">
        <f aca="false">IF(M15="Sim",COUNTIF(M$5:M15,"Sim"),"")</f>
        <v>10</v>
      </c>
      <c r="Q15" s="10" t="str">
        <f aca="false">IFERROR("Dívida a vencer em 12 meses — "&amp;"2023: "&amp;ROUND(Métricas!C50*100,1)&amp;"%"&amp;"; 2024: "&amp;ROUND(Métricas!D50*100,1)&amp;"%"&amp;"; 2025: "&amp;ROUND(Métricas!E50*100,1)&amp;"%"&amp;" ("&amp;ROUND(Input!E30,0)&amp;" de "&amp;ROUND(Métricas!E49,0)&amp;" em 2025). Fonte: "&amp;Input!$F$30&amp;"; "&amp;Input!$F$27,"Ver folha Métricas")</f>
        <v>Dívida a vencer em 12 meses — 2023: 18.5%; 2024: 20.8%; 2025: 55.2% (2400 de 4350 em 2025). Fonte: Balanço!B23:E23; Balanço!B20:E20</v>
      </c>
      <c r="R15" s="10" t="s">
        <v>380</v>
      </c>
      <c r="S15" s="10" t="s">
        <v>381</v>
      </c>
      <c r="T15" s="10" t="s">
        <v>382</v>
      </c>
      <c r="U15" s="10" t="s">
        <v>383</v>
      </c>
      <c r="V15" s="10" t="str">
        <f aca="false">"R11"&amp;" · "&amp;C15&amp;" (limite: "&amp;ROUND(F15*100,0)&amp;"%"&amp;")"</f>
        <v>R11 · Dívida concentrada nos próximos 12 meses (limite: 40%)</v>
      </c>
    </row>
    <row r="16" customFormat="false" ht="39.75" hidden="false" customHeight="true" outlineLevel="0" collapsed="false">
      <c r="A16" s="10" t="s">
        <v>384</v>
      </c>
      <c r="B16" s="10" t="s">
        <v>385</v>
      </c>
      <c r="C16" s="10" t="s">
        <v>386</v>
      </c>
      <c r="D16" s="10" t="s">
        <v>271</v>
      </c>
      <c r="E16" s="10" t="s">
        <v>324</v>
      </c>
      <c r="F16" s="45" t="n">
        <v>1</v>
      </c>
      <c r="G16" s="46" t="n">
        <f aca="false">Métricas!C58</f>
        <v>0</v>
      </c>
      <c r="H16" s="46" t="n">
        <f aca="false">Métricas!D58</f>
        <v>0</v>
      </c>
      <c r="I16" s="46" t="n">
        <f aca="false">Métricas!E58</f>
        <v>0</v>
      </c>
      <c r="J16" s="11" t="str">
        <f aca="false">IF(ISNUMBER(G16),IF(ABS(G16)&gt;$F16,"Sim","Não"),"n.d.")</f>
        <v>Não</v>
      </c>
      <c r="K16" s="11" t="str">
        <f aca="false">IF(ISNUMBER(H16),IF(ABS(H16)&gt;$F16,"Sim","Não"),"n.d.")</f>
        <v>Não</v>
      </c>
      <c r="L16" s="11" t="str">
        <f aca="false">IF(ISNUMBER(I16),IF(ABS(I16)&gt;$F16,"Sim","Não"),"n.d.")</f>
        <v>Não</v>
      </c>
      <c r="M16" s="10" t="str">
        <f aca="false">IF(COUNTIF(J16:L16,"Sim")&gt;0,"Sim","Não")</f>
        <v>Não</v>
      </c>
      <c r="N16" s="10" t="str">
        <f aca="false">MID(IF(J16="Sim",", 2023","")&amp;IF(K16="Sim",", 2024","")&amp;IF(L16="Sim",", 2025",""),3,20)</f>
        <v/>
      </c>
      <c r="O16" s="12" t="s">
        <v>308</v>
      </c>
      <c r="P16" s="10" t="str">
        <f aca="false">IF(M16="Sim",COUNTIF(M$5:M16,"Sim"),"")</f>
        <v/>
      </c>
      <c r="Q16" s="10" t="str">
        <f aca="false">IFERROR("Diferença no balanço — "&amp;"2023: "&amp;ROUND(Métricas!C58,0)&amp;"; 2024: "&amp;ROUND(Métricas!D58,0)&amp;"; 2025: "&amp;ROUND(Métricas!E58,0)&amp;". Fonte: Input, secção Balanço","Ver folha Métricas")</f>
        <v>Diferença no balanço — 2023: 0; 2024: 0; 2025: 0. Fonte: Input, secção Balanço</v>
      </c>
      <c r="R16" s="10" t="s">
        <v>387</v>
      </c>
      <c r="S16" s="10" t="s">
        <v>388</v>
      </c>
      <c r="T16" s="10" t="s">
        <v>389</v>
      </c>
      <c r="U16" s="10" t="s">
        <v>390</v>
      </c>
      <c r="V16" s="10" t="str">
        <f aca="false">"R12"&amp;" · "&amp;C16&amp;" (limite: "&amp;F16&amp;" mil €"&amp;")"</f>
        <v>R12 · Balanço não fecha (limite: 1 mil €)</v>
      </c>
    </row>
    <row r="17" customFormat="false" ht="39.75" hidden="false" customHeight="true" outlineLevel="0" collapsed="false">
      <c r="A17" s="10" t="s">
        <v>391</v>
      </c>
      <c r="B17" s="10" t="s">
        <v>385</v>
      </c>
      <c r="C17" s="10" t="s">
        <v>392</v>
      </c>
      <c r="D17" s="10" t="s">
        <v>273</v>
      </c>
      <c r="E17" s="10" t="s">
        <v>324</v>
      </c>
      <c r="F17" s="45" t="n">
        <v>1</v>
      </c>
      <c r="G17" s="46" t="n">
        <f aca="false">Métricas!C59</f>
        <v>0</v>
      </c>
      <c r="H17" s="46" t="n">
        <f aca="false">Métricas!D59</f>
        <v>85</v>
      </c>
      <c r="I17" s="46" t="n">
        <f aca="false">Métricas!E59</f>
        <v>0</v>
      </c>
      <c r="J17" s="11" t="str">
        <f aca="false">IF(ISNUMBER(G17),IF(ABS(G17)&gt;$F17,"Sim","Não"),"n.d.")</f>
        <v>Não</v>
      </c>
      <c r="K17" s="11" t="str">
        <f aca="false">IF(ISNUMBER(H17),IF(ABS(H17)&gt;$F17,"Sim","Não"),"n.d.")</f>
        <v>Sim</v>
      </c>
      <c r="L17" s="11" t="str">
        <f aca="false">IF(ISNUMBER(I17),IF(ABS(I17)&gt;$F17,"Sim","Não"),"n.d.")</f>
        <v>Não</v>
      </c>
      <c r="M17" s="10" t="str">
        <f aca="false">IF(COUNTIF(J17:L17,"Sim")&gt;0,"Sim","Não")</f>
        <v>Sim</v>
      </c>
      <c r="N17" s="10" t="str">
        <f aca="false">MID(IF(J17="Sim",", 2023","")&amp;IF(K17="Sim",", 2024","")&amp;IF(L17="Sim",", 2025",""),3,20)</f>
        <v>2024</v>
      </c>
      <c r="O17" s="12" t="s">
        <v>345</v>
      </c>
      <c r="P17" s="10" t="n">
        <f aca="false">IF(M17="Sim",COUNTIF(M$5:M17,"Sim"),"")</f>
        <v>11</v>
      </c>
      <c r="Q17" s="10" t="str">
        <f aca="false">IFERROR("Caixa final da DFC − caixa do balanço — "&amp;"2023: "&amp;ROUND(Métricas!C59,0)&amp;"; 2024: "&amp;ROUND(Métricas!D59,0)&amp;"; 2025: "&amp;ROUND(Métricas!E59,0)&amp;". Fonte: "&amp;Input!$F$46&amp;"; "&amp;Input!$F$24,"Ver folha Métricas")</f>
        <v>Caixa final da DFC − caixa do balanço — 2023: 0; 2024: 85; 2025: 0. Fonte: DFC!B31:D31; Balanço!B11:E11</v>
      </c>
      <c r="R17" s="10" t="s">
        <v>393</v>
      </c>
      <c r="S17" s="10" t="s">
        <v>394</v>
      </c>
      <c r="T17" s="10" t="s">
        <v>395</v>
      </c>
      <c r="U17" s="10" t="s">
        <v>396</v>
      </c>
      <c r="V17" s="10" t="str">
        <f aca="false">"R13"&amp;" · "&amp;C17&amp;" (limite: "&amp;F17&amp;" mil €"&amp;")"</f>
        <v>R13 · Caixa da DFC não bate com o balanço (limite: 1 mil €)</v>
      </c>
    </row>
    <row r="18" customFormat="false" ht="39.75" hidden="false" customHeight="true" outlineLevel="0" collapsed="false">
      <c r="A18" s="10" t="s">
        <v>397</v>
      </c>
      <c r="B18" s="10" t="s">
        <v>385</v>
      </c>
      <c r="C18" s="10" t="s">
        <v>398</v>
      </c>
      <c r="D18" s="10" t="s">
        <v>399</v>
      </c>
      <c r="E18" s="10" t="s">
        <v>324</v>
      </c>
      <c r="F18" s="45" t="n">
        <v>1</v>
      </c>
      <c r="G18" s="46" t="n">
        <f aca="false">Métricas!C60</f>
        <v>0</v>
      </c>
      <c r="H18" s="46" t="n">
        <f aca="false">Métricas!D60</f>
        <v>85</v>
      </c>
      <c r="I18" s="46" t="n">
        <f aca="false">Métricas!E60</f>
        <v>0</v>
      </c>
      <c r="J18" s="11" t="str">
        <f aca="false">IF(ISNUMBER(G18),IF(ABS(G18)&gt;$F18,"Sim","Não"),"n.d.")</f>
        <v>Não</v>
      </c>
      <c r="K18" s="11" t="str">
        <f aca="false">IF(ISNUMBER(H18),IF(ABS(H18)&gt;$F18,"Sim","Não"),"n.d.")</f>
        <v>Sim</v>
      </c>
      <c r="L18" s="11" t="str">
        <f aca="false">IF(ISNUMBER(I18),IF(ABS(I18)&gt;$F18,"Sim","Não"),"n.d.")</f>
        <v>Não</v>
      </c>
      <c r="M18" s="10" t="str">
        <f aca="false">IF(COUNTIF(J18:L18,"Sim")&gt;0,"Sim","Não")</f>
        <v>Sim</v>
      </c>
      <c r="N18" s="10" t="str">
        <f aca="false">MID(IF(J18="Sim",", 2023","")&amp;IF(K18="Sim",", 2024","")&amp;IF(L18="Sim",", 2025",""),3,20)</f>
        <v>2024</v>
      </c>
      <c r="O18" s="12" t="s">
        <v>345</v>
      </c>
      <c r="P18" s="10" t="n">
        <f aca="false">IF(M18="Sim",COUNTIF(M$5:M18,"Sim"),"")</f>
        <v>12</v>
      </c>
      <c r="Q18" s="10" t="str">
        <f aca="false">IFERROR("Diferença entre DFC e balanço nas variações de capital de giro — "&amp;"2023: "&amp;ROUND(Métricas!C60,0)&amp;"; 2024: "&amp;ROUND(Métricas!D60,0)&amp;"; 2025: "&amp;ROUND(Métricas!E60,0)&amp;". Fonte: "&amp;Input!$F$35&amp;" a "&amp;Input!$F$39,"Ver folha Métricas")</f>
        <v>Diferença entre DFC e balanço nas variações de capital de giro — 2023: 0; 2024: 85; 2025: 0. Fonte: DFC!B10:D10 a DFC!B14:D14</v>
      </c>
      <c r="R18" s="10" t="s">
        <v>400</v>
      </c>
      <c r="S18" s="10" t="s">
        <v>401</v>
      </c>
      <c r="T18" s="10" t="s">
        <v>402</v>
      </c>
      <c r="U18" s="10" t="s">
        <v>403</v>
      </c>
      <c r="V18" s="10" t="str">
        <f aca="false">"R14"&amp;" · "&amp;C18&amp;" (limite: "&amp;F18&amp;" mil €"&amp;")"</f>
        <v>R14 · Variações de capital de giro da DFC não batem com o balanço (limite: 1 mil €)</v>
      </c>
    </row>
    <row r="19" customFormat="false" ht="39.75" hidden="false" customHeight="true" outlineLevel="0" collapsed="false">
      <c r="A19" s="10" t="s">
        <v>404</v>
      </c>
      <c r="B19" s="10" t="s">
        <v>385</v>
      </c>
      <c r="C19" s="10" t="s">
        <v>405</v>
      </c>
      <c r="D19" s="10" t="s">
        <v>406</v>
      </c>
      <c r="E19" s="10" t="s">
        <v>324</v>
      </c>
      <c r="F19" s="45" t="n">
        <v>1</v>
      </c>
      <c r="G19" s="46" t="n">
        <f aca="false">Métricas!C61</f>
        <v>0</v>
      </c>
      <c r="H19" s="46" t="n">
        <f aca="false">Métricas!D61</f>
        <v>0</v>
      </c>
      <c r="I19" s="46" t="n">
        <f aca="false">Métricas!E61</f>
        <v>0</v>
      </c>
      <c r="J19" s="11" t="str">
        <f aca="false">IF(ISNUMBER(G19),IF(ABS(G19)&gt;$F19,"Sim","Não"),"n.d.")</f>
        <v>Não</v>
      </c>
      <c r="K19" s="11" t="str">
        <f aca="false">IF(ISNUMBER(H19),IF(ABS(H19)&gt;$F19,"Sim","Não"),"n.d.")</f>
        <v>Não</v>
      </c>
      <c r="L19" s="11" t="str">
        <f aca="false">IF(ISNUMBER(I19),IF(ABS(I19)&gt;$F19,"Sim","Não"),"n.d.")</f>
        <v>Não</v>
      </c>
      <c r="M19" s="10" t="str">
        <f aca="false">IF(COUNTIF(J19:L19,"Sim")&gt;0,"Sim","Não")</f>
        <v>Não</v>
      </c>
      <c r="N19" s="10" t="str">
        <f aca="false">MID(IF(J19="Sim",", 2023","")&amp;IF(K19="Sim",", 2024","")&amp;IF(L19="Sim",", 2025",""),3,20)</f>
        <v/>
      </c>
      <c r="O19" s="12" t="s">
        <v>308</v>
      </c>
      <c r="P19" s="10" t="str">
        <f aca="false">IF(M19="Sim",COUNTIF(M$5:M19,"Sim"),"")</f>
        <v/>
      </c>
      <c r="Q19" s="10" t="str">
        <f aca="false">IFERROR("Diferença no resultado líquido — "&amp;"2023: "&amp;ROUND(Métricas!C61,0)&amp;"; 2024: "&amp;ROUND(Métricas!D61,0)&amp;"; 2025: "&amp;ROUND(Métricas!E61,0)&amp;". Fonte: "&amp;Input!$F$16&amp;"; "&amp;Input!$F$26&amp;"; "&amp;Input!$F$34,"Ver folha Métricas")</f>
        <v>Diferença no resultado líquido — 2023: 0; 2024: 0; 2025: 0. Fonte: DRE!B19:D19; Balanço!B18:E18; DFC!B5:D5</v>
      </c>
      <c r="R19" s="10" t="s">
        <v>407</v>
      </c>
      <c r="S19" s="10" t="s">
        <v>408</v>
      </c>
      <c r="T19" s="10" t="s">
        <v>409</v>
      </c>
      <c r="U19" s="10" t="s">
        <v>410</v>
      </c>
      <c r="V19" s="10" t="str">
        <f aca="false">"R15"&amp;" · "&amp;C19&amp;" (limite: "&amp;F19&amp;" mil €"&amp;")"</f>
        <v>R15 · Resultado líquido diferente entre demonstrações (limite: 1 mil €)</v>
      </c>
    </row>
    <row r="20" customFormat="false" ht="39.75" hidden="false" customHeight="true" outlineLevel="0" collapsed="false">
      <c r="A20" s="10" t="s">
        <v>411</v>
      </c>
      <c r="B20" s="10" t="s">
        <v>385</v>
      </c>
      <c r="C20" s="10" t="s">
        <v>412</v>
      </c>
      <c r="D20" s="10" t="s">
        <v>413</v>
      </c>
      <c r="E20" s="10" t="s">
        <v>324</v>
      </c>
      <c r="F20" s="45" t="n">
        <v>1</v>
      </c>
      <c r="G20" s="46" t="n">
        <f aca="false">Métricas!C62</f>
        <v>0</v>
      </c>
      <c r="H20" s="46" t="n">
        <f aca="false">Métricas!D62</f>
        <v>0</v>
      </c>
      <c r="I20" s="46" t="n">
        <f aca="false">Métricas!E62</f>
        <v>0</v>
      </c>
      <c r="J20" s="11" t="str">
        <f aca="false">IF(ISNUMBER(G20),IF(ABS(G20)&gt;$F20,"Sim","Não"),"n.d.")</f>
        <v>Não</v>
      </c>
      <c r="K20" s="11" t="str">
        <f aca="false">IF(ISNUMBER(H20),IF(ABS(H20)&gt;$F20,"Sim","Não"),"n.d.")</f>
        <v>Não</v>
      </c>
      <c r="L20" s="11" t="str">
        <f aca="false">IF(ISNUMBER(I20),IF(ABS(I20)&gt;$F20,"Sim","Não"),"n.d.")</f>
        <v>Não</v>
      </c>
      <c r="M20" s="10" t="str">
        <f aca="false">IF(COUNTIF(J20:L20,"Sim")&gt;0,"Sim","Não")</f>
        <v>Não</v>
      </c>
      <c r="N20" s="10" t="str">
        <f aca="false">MID(IF(J20="Sim",", 2023","")&amp;IF(K20="Sim",", 2024","")&amp;IF(L20="Sim",", 2025",""),3,20)</f>
        <v/>
      </c>
      <c r="O20" s="12" t="s">
        <v>345</v>
      </c>
      <c r="P20" s="10" t="str">
        <f aca="false">IF(M20="Sim",COUNTIF(M$5:M20,"Sim"),"")</f>
        <v/>
      </c>
      <c r="Q20" s="10" t="str">
        <f aca="false">IFERROR("Vendas por cliente − vendas da DRE — "&amp;"2023: "&amp;ROUND(Métricas!C62,0)&amp;"; 2024: "&amp;ROUND(Métricas!D62,0)&amp;"; 2025: "&amp;ROUND(Métricas!E62,0)&amp;". Fonte: Input, secção Vendas por cliente","Ver folha Métricas")</f>
        <v>Vendas por cliente − vendas da DRE — 2023: 0; 2024: 0; 2025: 0. Fonte: Input, secção Vendas por cliente</v>
      </c>
      <c r="R20" s="10" t="s">
        <v>414</v>
      </c>
      <c r="S20" s="10" t="s">
        <v>415</v>
      </c>
      <c r="T20" s="10" t="s">
        <v>416</v>
      </c>
      <c r="U20" s="10" t="s">
        <v>417</v>
      </c>
      <c r="V20" s="10" t="str">
        <f aca="false">"R16"&amp;" · "&amp;C20&amp;" (limite: "&amp;F20&amp;" mil €"&amp;")"</f>
        <v>R16 · Vendas por cliente não somam as vendas da DRE (limite: 1 mil €)</v>
      </c>
    </row>
    <row r="21" customFormat="false" ht="39.75" hidden="false" customHeight="true" outlineLevel="0" collapsed="false">
      <c r="A21" s="10" t="s">
        <v>418</v>
      </c>
      <c r="B21" s="10" t="s">
        <v>385</v>
      </c>
      <c r="C21" s="10" t="s">
        <v>419</v>
      </c>
      <c r="D21" s="10" t="s">
        <v>420</v>
      </c>
      <c r="E21" s="10" t="s">
        <v>324</v>
      </c>
      <c r="F21" s="45" t="n">
        <v>1</v>
      </c>
      <c r="G21" s="46" t="str">
        <f aca="false">Métricas!C63</f>
        <v>n.d.</v>
      </c>
      <c r="H21" s="46" t="str">
        <f aca="false">Métricas!D63</f>
        <v>n.d.</v>
      </c>
      <c r="I21" s="46" t="n">
        <f aca="false">Métricas!E63</f>
        <v>0</v>
      </c>
      <c r="J21" s="11" t="str">
        <f aca="false">IF(ISNUMBER(G21),IF(ABS(G21)&gt;$F21,"Sim","Não"),"n.d.")</f>
        <v>n.d.</v>
      </c>
      <c r="K21" s="11" t="str">
        <f aca="false">IF(ISNUMBER(H21),IF(ABS(H21)&gt;$F21,"Sim","Não"),"n.d.")</f>
        <v>n.d.</v>
      </c>
      <c r="L21" s="11" t="str">
        <f aca="false">IF(ISNUMBER(I21),IF(ABS(I21)&gt;$F21,"Sim","Não"),"n.d.")</f>
        <v>Não</v>
      </c>
      <c r="M21" s="10" t="str">
        <f aca="false">IF(COUNTIF(J21:L21,"Sim")&gt;0,"Sim","Não")</f>
        <v>Não</v>
      </c>
      <c r="N21" s="10" t="str">
        <f aca="false">MID(IF(J21="Sim",", 2023","")&amp;IF(K21="Sim",", 2024","")&amp;IF(L21="Sim",", 2025",""),3,20)</f>
        <v/>
      </c>
      <c r="O21" s="12" t="s">
        <v>345</v>
      </c>
      <c r="P21" s="10" t="str">
        <f aca="false">IF(M21="Sim",COUNTIF(M$5:M21,"Sim"),"")</f>
        <v/>
      </c>
      <c r="Q21" s="10" t="str">
        <f aca="false">IFERROR("Mapa da dívida − balanço em 2025: "&amp;ROUND(Métricas!E63,0)&amp;". Fonte: "&amp;Input!$F$71&amp;"; "&amp;Input!$F$30,"Ver folha Métricas")</f>
        <v>Mapa da dívida − balanço em 2025: 0. Fonte: Dívida!D9; Balanço!B23:E23</v>
      </c>
      <c r="R21" s="10" t="s">
        <v>421</v>
      </c>
      <c r="S21" s="10" t="s">
        <v>422</v>
      </c>
      <c r="T21" s="10" t="s">
        <v>423</v>
      </c>
      <c r="U21" s="10" t="s">
        <v>424</v>
      </c>
      <c r="V21" s="10" t="str">
        <f aca="false">"R17"&amp;" · "&amp;C21&amp;" (limite: "&amp;F21&amp;" mil €"&amp;")"</f>
        <v>R17 · Mapa da dívida não bate com o balanço (limite: 1 mil €)</v>
      </c>
    </row>
    <row r="22" customFormat="false" ht="40.5" hidden="false" customHeight="true" outlineLevel="0" collapsed="false">
      <c r="A22" s="10" t="s">
        <v>425</v>
      </c>
      <c r="B22" s="10" t="s">
        <v>280</v>
      </c>
      <c r="C22" s="10" t="s">
        <v>281</v>
      </c>
      <c r="D22" s="10" t="s">
        <v>426</v>
      </c>
      <c r="E22" s="10" t="s">
        <v>307</v>
      </c>
      <c r="F22" s="41" t="n">
        <v>0</v>
      </c>
      <c r="G22" s="42" t="str">
        <f aca="false">Métricas!C65</f>
        <v>n.d.</v>
      </c>
      <c r="H22" s="42" t="str">
        <f aca="false">Métricas!D65</f>
        <v>n.d.</v>
      </c>
      <c r="I22" s="42" t="n">
        <f aca="false">Métricas!E65</f>
        <v>5</v>
      </c>
      <c r="J22" s="11" t="str">
        <f aca="false">IF(ISNUMBER(G22),IF(G22&gt;$F22,"Sim","Não"),"n.d.")</f>
        <v>n.d.</v>
      </c>
      <c r="K22" s="11" t="str">
        <f aca="false">IF(ISNUMBER(H22),IF(H22&gt;$F22,"Sim","Não"),"n.d.")</f>
        <v>n.d.</v>
      </c>
      <c r="L22" s="11" t="str">
        <f aca="false">IF(ISNUMBER(I22),IF(I22&gt;$F22,"Sim","Não"),"n.d.")</f>
        <v>Sim</v>
      </c>
      <c r="M22" s="10" t="str">
        <f aca="false">IF(COUNTIF(J22:L22,"Sim")&gt;0,"Sim","Não")</f>
        <v>Sim</v>
      </c>
      <c r="N22" s="10" t="str">
        <f aca="false">MID(IF(J22="Sim",", 2023","")&amp;IF(K22="Sim",", 2024","")&amp;IF(L22="Sim",", 2025",""),3,20)</f>
        <v>2025</v>
      </c>
      <c r="O22" s="12" t="s">
        <v>345</v>
      </c>
      <c r="P22" s="10" t="n">
        <f aca="false">IF(M22="Sim",COUNTIF(M$5:M22,"Sim"),"")</f>
        <v>13</v>
      </c>
      <c r="Q22" s="10" t="str">
        <f aca="false">IFERROR(ROUND(Métricas!E65,0)&amp;" documento(s) em falta: "&amp;Métricas!E66&amp;". Fonte: Input, Documentos recebidos","Ver folha Métricas")</f>
        <v>5 documento(s) em falta: Evidência dos ajustes ao EBITDA (faturas, contratos); Detalhe de outros rendimentos e outros gastos; Aging de clientes; Aging de inventários; Contratos de financiamento. Fonte: Input, Documentos recebidos</v>
      </c>
      <c r="R22" s="10" t="s">
        <v>427</v>
      </c>
      <c r="S22" s="10" t="s">
        <v>428</v>
      </c>
      <c r="T22" s="10" t="s">
        <v>429</v>
      </c>
      <c r="U22" s="10" t="s">
        <v>430</v>
      </c>
      <c r="V22" s="10" t="str">
        <f aca="false">"R18"&amp;" · "&amp;C22&amp;" (limite: "&amp;"mais de "&amp;F22&amp;")"</f>
        <v>R18 · Documentos obrigatórios em falta (limite: mais de 0)</v>
      </c>
    </row>
    <row r="23" customFormat="false" ht="40.5" hidden="false" customHeight="true" outlineLevel="0" collapsed="false">
      <c r="A23" s="10" t="s">
        <v>431</v>
      </c>
      <c r="B23" s="10" t="s">
        <v>330</v>
      </c>
      <c r="C23" s="10" t="s">
        <v>432</v>
      </c>
      <c r="D23" s="10" t="s">
        <v>433</v>
      </c>
      <c r="E23" s="10" t="s">
        <v>307</v>
      </c>
      <c r="F23" s="37" t="n">
        <v>0.05</v>
      </c>
      <c r="G23" s="38" t="n">
        <f aca="false">Métricas!C24</f>
        <v>-0</v>
      </c>
      <c r="H23" s="38" t="n">
        <f aca="false">Métricas!D24</f>
        <v>-0</v>
      </c>
      <c r="I23" s="38" t="n">
        <f aca="false">Métricas!E24</f>
        <v>0.176678445229682</v>
      </c>
      <c r="J23" s="11" t="str">
        <f aca="false">IF(ISNUMBER(G23),IF(G23&gt;$F23,"Sim","Não"),"n.d.")</f>
        <v>Não</v>
      </c>
      <c r="K23" s="11" t="str">
        <f aca="false">IF(ISNUMBER(H23),IF(H23&gt;$F23,"Sim","Não"),"n.d.")</f>
        <v>Não</v>
      </c>
      <c r="L23" s="11" t="str">
        <f aca="false">IF(ISNUMBER(I23),IF(I23&gt;$F23,"Sim","Não"),"n.d.")</f>
        <v>Sim</v>
      </c>
      <c r="M23" s="10" t="str">
        <f aca="false">IF(COUNTIF(J23:L23,"Sim")&gt;0,"Sim","Não")</f>
        <v>Sim</v>
      </c>
      <c r="N23" s="10" t="str">
        <f aca="false">MID(IF(J23="Sim",", 2023","")&amp;IF(K23="Sim",", 2024","")&amp;IF(L23="Sim",", 2025",""),3,20)</f>
        <v>2025</v>
      </c>
      <c r="O23" s="12" t="s">
        <v>308</v>
      </c>
      <c r="P23" s="10" t="n">
        <f aca="false">IF(M23="Sim",COUNTIF(M$5:M23,"Sim"),"")</f>
        <v>14</v>
      </c>
      <c r="Q23" s="10" t="str">
        <f aca="false">IFERROR("Ganhos na alienação de ativos — 2023: "&amp;ROUND(Métricas!C23,0)&amp;"; 2024: "&amp;ROUND(Métricas!D23,0)&amp;"; 2025: "&amp;ROUND(Métricas!E23,0)&amp;" ("&amp;ROUND(Métricas!E24*100,1)&amp;"%"&amp;" do EBITDA). EBITDA de 2025 sem esses ganhos: "&amp;ROUND(Métricas!E25,0)&amp;". Fonte: "&amp;Input!$F$44&amp;"; "&amp;Input!$F$11,"Ver folha Métricas")</f>
        <v>Ganhos na alienação de ativos — 2023: 0; 2024: 0; 2025: 250 (17.7% do EBITDA). EBITDA de 2025 sem esses ganhos: 1165. Fonte: DFC!B9:D9; DRE!B11:D11</v>
      </c>
      <c r="R23" s="10" t="s">
        <v>434</v>
      </c>
      <c r="S23" s="10" t="s">
        <v>435</v>
      </c>
      <c r="T23" s="10" t="s">
        <v>436</v>
      </c>
      <c r="U23" s="10" t="s">
        <v>437</v>
      </c>
      <c r="V23" s="10" t="str">
        <f aca="false">"R19"&amp;" · "&amp;C23&amp;" (limite: "&amp;ROUND(F23*100,0)&amp;"%"&amp;")"</f>
        <v>R19 · Ganho na venda de ativos dentro do EBITDA (limite: 5%)</v>
      </c>
    </row>
    <row r="24" customFormat="false" ht="40.5" hidden="false" customHeight="true" outlineLevel="0" collapsed="false">
      <c r="A24" s="10" t="s">
        <v>438</v>
      </c>
      <c r="B24" s="10" t="s">
        <v>253</v>
      </c>
      <c r="C24" s="10" t="s">
        <v>439</v>
      </c>
      <c r="D24" s="10" t="s">
        <v>440</v>
      </c>
      <c r="E24" s="10" t="s">
        <v>373</v>
      </c>
      <c r="F24" s="37" t="n">
        <v>0.15</v>
      </c>
      <c r="G24" s="38" t="str">
        <f aca="false">Métricas!C55</f>
        <v>n.d.</v>
      </c>
      <c r="H24" s="38" t="str">
        <f aca="false">Métricas!D55</f>
        <v>n.d.</v>
      </c>
      <c r="I24" s="38" t="n">
        <f aca="false">Métricas!E55</f>
        <v>0.117314487632509</v>
      </c>
      <c r="J24" s="11" t="str">
        <f aca="false">IF(ISNUMBER(G24),IF(G24&lt;$F24,"Sim","Não"),"n.d.")</f>
        <v>n.d.</v>
      </c>
      <c r="K24" s="11" t="str">
        <f aca="false">IF(ISNUMBER(H24),IF(H24&lt;$F24,"Sim","Não"),"n.d.")</f>
        <v>n.d.</v>
      </c>
      <c r="L24" s="11" t="str">
        <f aca="false">IF(ISNUMBER(I24),IF(I24&lt;$F24,"Sim","Não"),"n.d.")</f>
        <v>Sim</v>
      </c>
      <c r="M24" s="10" t="str">
        <f aca="false">IF(COUNTIF(J24:L24,"Sim")&gt;0,"Sim","Não")</f>
        <v>Sim</v>
      </c>
      <c r="N24" s="10" t="str">
        <f aca="false">MID(IF(J24="Sim",", 2023","")&amp;IF(K24="Sim",", 2024","")&amp;IF(L24="Sim",", 2025",""),3,20)</f>
        <v>2025</v>
      </c>
      <c r="O24" s="12" t="s">
        <v>308</v>
      </c>
      <c r="P24" s="10" t="n">
        <f aca="false">IF(M24="Sim",COUNTIF(M$5:M24,"Sim"),"")</f>
        <v>15</v>
      </c>
      <c r="Q24" s="10" t="str">
        <f aca="false">IFERROR("Dívida líquida / EBITDA em 2025: "&amp;ROUND(Métricas!E52,2)&amp;"x (limite "&amp;ROUND(Métricas!E54,1)&amp;"x); folga de "&amp;ROUND(Métricas!E55*100,1)&amp;"%"&amp;". EBITDA mínimo para cumprir: "&amp;ROUND(Métricas!E56,0)&amp;". Sem ganhos na alienação, o rácio é "&amp;ROUND(Métricas!E53,2)&amp;"x. Fonte: "&amp;Input!$F$73&amp;"; "&amp;Input!$F$30,"Ver folha Métricas")</f>
        <v>Dívida líquida / EBITDA em 2025: 2.65x (limite 3x); folga de 11.7%. EBITDA mínimo para cumprir: 1249. Sem ganhos na alienação, o rácio é 3.22x. Fonte: Dívida!I6 (empréstimo B, teste anual); Balanço!B23:E23</v>
      </c>
      <c r="R24" s="10" t="s">
        <v>441</v>
      </c>
      <c r="S24" s="10" t="s">
        <v>442</v>
      </c>
      <c r="T24" s="10" t="s">
        <v>443</v>
      </c>
      <c r="U24" s="10" t="s">
        <v>444</v>
      </c>
      <c r="V24" s="10" t="str">
        <f aca="false">"R20"&amp;" · "&amp;C24&amp;" (limite: "&amp;ROUND(F24*100,0)&amp;"%"&amp;")"</f>
        <v>R20 · Folga do covenant reduzida (limite: 15%)</v>
      </c>
    </row>
  </sheetData>
  <conditionalFormatting sqref="J5:M24">
    <cfRule type="cellIs" priority="2" operator="equal" aboveAverage="0" equalAverage="0" bottom="0" percent="0" rank="0" text="" dxfId="3">
      <formula>"Sim"</formula>
    </cfRule>
  </conditionalFormatting>
  <dataValidations count="1">
    <dataValidation allowBlank="false" errorStyle="stop" operator="between" showDropDown="false" showErrorMessage="false" showInputMessage="false" sqref="O5:O24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2026-10-26T11:03:02Z</dcterms:created>
  <dc:creator>openpyxl</dc:creator>
  <dc:description/>
  <dc:language>en-US</dc:language>
  <cp:lastModifiedBy/>
  <dcterms:modified xsi:type="dcterms:W3CDTF">2026-10-26T11:03:02Z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