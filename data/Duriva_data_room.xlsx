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RE" sheetId="2" state="visible" r:id="rId4"/>
    <sheet name="Balanço" sheetId="3" state="visible" r:id="rId5"/>
    <sheet name="DFC" sheetId="4" state="visible" r:id="rId6"/>
    <sheet name="Vendas por Cliente" sheetId="5" state="visible" r:id="rId7"/>
    <sheet name="EBITDA Ajustado" sheetId="6" state="visible" r:id="rId8"/>
    <sheet name="Dívida" sheetId="7" state="visible" r:id="rId9"/>
    <sheet name="Relatório de Gestã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<sst xmlns="http://schemas.openxmlformats.org/spreadsheetml/2006/main" count="205" uniqueCount="182">
  <si>
    <t xml:space="preserve">Duriva Distribuição Industrial, S.A. — data room financeiro</t>
  </si>
  <si>
    <t xml:space="preserve">EMPRESA FICTÍCIA. Dados criados para formação; qualquer semelhança com empresas reais é coincidência.</t>
  </si>
  <si>
    <t xml:space="preserve">Contexto</t>
  </si>
  <si>
    <t xml:space="preserve">Um fundo de private equity avalia a compra de 100% da Duriva. Este é o data room financeiro preliminar que a gestão enviou ao comprador.</t>
  </si>
  <si>
    <t xml:space="preserve">Atividade</t>
  </si>
  <si>
    <t xml:space="preserve">Distribuição B2B de equipamentos e peças industriais (bombas, compressores, ferramentas e consumíveis) a clientes dos setores automóvel, metalomecânico, alimentar e químico. Sede na Maia (Porto).</t>
  </si>
  <si>
    <t xml:space="preserve">Período</t>
  </si>
  <si>
    <t xml:space="preserve">Exercícios de 2023, 2024 e 2025 (ano civil). O balanço inclui 2022 como saldo de abertura.</t>
  </si>
  <si>
    <t xml:space="preserve">Unidades</t>
  </si>
  <si>
    <t xml:space="preserve">Milhares de euros (€ k), salvo indicação em contrário.</t>
  </si>
  <si>
    <t xml:space="preserve">Legenda</t>
  </si>
  <si>
    <t xml:space="preserve">Azul: valores reportados pela empresa. Preto: totais calculados por fórmula.</t>
  </si>
  <si>
    <t xml:space="preserve">Auditoria</t>
  </si>
  <si>
    <t xml:space="preserve">Contas de 2023 e 2024 auditadas. Contas de 2025 preparadas pela gestão, ainda não auditadas.</t>
  </si>
  <si>
    <t xml:space="preserve">Folha</t>
  </si>
  <si>
    <t xml:space="preserve">Conteúdo</t>
  </si>
  <si>
    <t xml:space="preserve">DRE</t>
  </si>
  <si>
    <t xml:space="preserve">Demonstração de resultados 2023–2025</t>
  </si>
  <si>
    <t xml:space="preserve">Balanço</t>
  </si>
  <si>
    <t xml:space="preserve">Balanço 2022–2025 (31 de dezembro)</t>
  </si>
  <si>
    <t xml:space="preserve">DFC</t>
  </si>
  <si>
    <t xml:space="preserve">Demonstração de fluxos de caixa 2023–2025 (método indireto)</t>
  </si>
  <si>
    <t xml:space="preserve">Vendas por Cliente</t>
  </si>
  <si>
    <t xml:space="preserve">Vendas pelos maiores clientes 2023–2025</t>
  </si>
  <si>
    <t xml:space="preserve">EBITDA Ajustado</t>
  </si>
  <si>
    <t xml:space="preserve">EBITDA ajustado segundo a gestão (management presentation)</t>
  </si>
  <si>
    <t xml:space="preserve">Dívida</t>
  </si>
  <si>
    <t xml:space="preserve">Mapa de financiamentos em 31/12/2025</t>
  </si>
  <si>
    <t xml:space="preserve">Relatório de Gestão</t>
  </si>
  <si>
    <t xml:space="preserve">Excerto do relatório de gestão de 2025</t>
  </si>
  <si>
    <t xml:space="preserve">Demonstração de resultados</t>
  </si>
  <si>
    <t xml:space="preserve">€ milhares | Exercícios findos em 31 de dezembro</t>
  </si>
  <si>
    <t xml:space="preserve">Rubrica</t>
  </si>
  <si>
    <t xml:space="preserve">2023</t>
  </si>
  <si>
    <t xml:space="preserve">2024</t>
  </si>
  <si>
    <t xml:space="preserve">2025</t>
  </si>
  <si>
    <t xml:space="preserve">Vendas e serviços prestados</t>
  </si>
  <si>
    <t xml:space="preserve">Custo das mercadorias vendidas e das matérias consumidas</t>
  </si>
  <si>
    <t xml:space="preserve">Margem bruta</t>
  </si>
  <si>
    <t xml:space="preserve">Fornecimentos e serviços externos</t>
  </si>
  <si>
    <t xml:space="preserve">Gastos com o pessoal</t>
  </si>
  <si>
    <t xml:space="preserve">Imparidade de dívidas a receber (perdas)</t>
  </si>
  <si>
    <t xml:space="preserve">Outros rendimentos</t>
  </si>
  <si>
    <t xml:space="preserve">Outros gastos</t>
  </si>
  <si>
    <t xml:space="preserve">EBITDA</t>
  </si>
  <si>
    <t xml:space="preserve">Gastos de depreciação e de amortização</t>
  </si>
  <si>
    <t xml:space="preserve">Resultado operacional (EBIT)</t>
  </si>
  <si>
    <t xml:space="preserve">Juros e gastos similares suportados</t>
  </si>
  <si>
    <t xml:space="preserve">Resultado antes de impostos</t>
  </si>
  <si>
    <t xml:space="preserve">Imposto sobre o rendimento do período</t>
  </si>
  <si>
    <t xml:space="preserve">Resultado líquido do período</t>
  </si>
  <si>
    <t xml:space="preserve">Informação adicional</t>
  </si>
  <si>
    <t xml:space="preserve">Número médio de colaboradores</t>
  </si>
  <si>
    <t xml:space="preserve">€ milhares | Em 31 de dezembro</t>
  </si>
  <si>
    <t xml:space="preserve">2022</t>
  </si>
  <si>
    <t xml:space="preserve">ATIVO</t>
  </si>
  <si>
    <t xml:space="preserve">Ativos fixos tangíveis</t>
  </si>
  <si>
    <t xml:space="preserve">Total do ativo não corrente</t>
  </si>
  <si>
    <t xml:space="preserve">Inventários</t>
  </si>
  <si>
    <t xml:space="preserve">Clientes</t>
  </si>
  <si>
    <t xml:space="preserve">Outros ativos correntes</t>
  </si>
  <si>
    <t xml:space="preserve">Caixa e depósitos bancários</t>
  </si>
  <si>
    <t xml:space="preserve">Total do ativo corrente</t>
  </si>
  <si>
    <t xml:space="preserve">TOTAL DO ATIVO</t>
  </si>
  <si>
    <t xml:space="preserve">CAPITAL PRÓPRIO E PASSIVO</t>
  </si>
  <si>
    <t xml:space="preserve">Capital social</t>
  </si>
  <si>
    <t xml:space="preserve">Reservas e resultados transitados</t>
  </si>
  <si>
    <t xml:space="preserve">Total do capital próprio</t>
  </si>
  <si>
    <t xml:space="preserve">Financiamentos obtidos (não corrente)</t>
  </si>
  <si>
    <t xml:space="preserve">Total do passivo não corrente</t>
  </si>
  <si>
    <t xml:space="preserve">Fornecedores</t>
  </si>
  <si>
    <t xml:space="preserve">Financiamentos obtidos (corrente)</t>
  </si>
  <si>
    <t xml:space="preserve">Outros passivos correntes</t>
  </si>
  <si>
    <t xml:space="preserve">Total do passivo corrente</t>
  </si>
  <si>
    <t xml:space="preserve">Total do passivo</t>
  </si>
  <si>
    <t xml:space="preserve">TOTAL DO CAPITAL PRÓPRIO E PASSIVO</t>
  </si>
  <si>
    <t xml:space="preserve">Demonstração de fluxos de caixa (método indireto)</t>
  </si>
  <si>
    <t xml:space="preserve">Juros e gastos similares</t>
  </si>
  <si>
    <t xml:space="preserve">Imposto sobre o rendimento</t>
  </si>
  <si>
    <t xml:space="preserve">(Ganhos)/perdas na alienação de ativos fixos</t>
  </si>
  <si>
    <t xml:space="preserve">Variação de clientes</t>
  </si>
  <si>
    <t xml:space="preserve">Variação de inventários</t>
  </si>
  <si>
    <t xml:space="preserve">Variação de fornecedores</t>
  </si>
  <si>
    <t xml:space="preserve">Variação de outros ativos correntes</t>
  </si>
  <si>
    <t xml:space="preserve">Variação de outros passivos correntes</t>
  </si>
  <si>
    <t xml:space="preserve">Caixa gerada pelas operações</t>
  </si>
  <si>
    <t xml:space="preserve">Juros pagos</t>
  </si>
  <si>
    <t xml:space="preserve">Impostos sobre o rendimento pagos</t>
  </si>
  <si>
    <t xml:space="preserve">Fluxo de caixa das atividades operacionais (1)</t>
  </si>
  <si>
    <t xml:space="preserve">Pagamentos de ativos fixos tangíveis</t>
  </si>
  <si>
    <t xml:space="preserve">Recebimentos da alienação de ativos fixos</t>
  </si>
  <si>
    <t xml:space="preserve">Fluxo de caixa das atividades de investimento (2)</t>
  </si>
  <si>
    <t xml:space="preserve">Recebimentos de financiamentos obtidos</t>
  </si>
  <si>
    <t xml:space="preserve">Pagamentos de financiamentos obtidos</t>
  </si>
  <si>
    <t xml:space="preserve">Dividendos pagos</t>
  </si>
  <si>
    <t xml:space="preserve">Fluxo de caixa das atividades de financiamento (3)</t>
  </si>
  <si>
    <t xml:space="preserve">Variação de caixa (1)+(2)+(3)</t>
  </si>
  <si>
    <t xml:space="preserve">Caixa no início do período</t>
  </si>
  <si>
    <t xml:space="preserve">Caixa no fim do período</t>
  </si>
  <si>
    <t xml:space="preserve">Vendas por cliente</t>
  </si>
  <si>
    <t xml:space="preserve">€ milhares | % do total de vendas do ano</t>
  </si>
  <si>
    <t xml:space="preserve">Cliente</t>
  </si>
  <si>
    <t xml:space="preserve">Setor</t>
  </si>
  <si>
    <t xml:space="preserve">% 2023</t>
  </si>
  <si>
    <t xml:space="preserve">% 2024</t>
  </si>
  <si>
    <t xml:space="preserve">% 2025</t>
  </si>
  <si>
    <t xml:space="preserve">Cliente A</t>
  </si>
  <si>
    <t xml:space="preserve">Automóvel</t>
  </si>
  <si>
    <t xml:space="preserve">Cliente B</t>
  </si>
  <si>
    <t xml:space="preserve">Metalomecânica</t>
  </si>
  <si>
    <t xml:space="preserve">Cliente C</t>
  </si>
  <si>
    <t xml:space="preserve">Alimentar</t>
  </si>
  <si>
    <t xml:space="preserve">Cliente D</t>
  </si>
  <si>
    <t xml:space="preserve">Química</t>
  </si>
  <si>
    <t xml:space="preserve">Cliente E</t>
  </si>
  <si>
    <t xml:space="preserve">Construção</t>
  </si>
  <si>
    <t xml:space="preserve">Cliente F</t>
  </si>
  <si>
    <t xml:space="preserve">Cliente G</t>
  </si>
  <si>
    <t xml:space="preserve">Papel e embalagem</t>
  </si>
  <si>
    <t xml:space="preserve">Cliente H</t>
  </si>
  <si>
    <t xml:space="preserve">Cliente I</t>
  </si>
  <si>
    <t xml:space="preserve">Têxtil</t>
  </si>
  <si>
    <t xml:space="preserve">Cliente K</t>
  </si>
  <si>
    <t xml:space="preserve">Energia (projeto)</t>
  </si>
  <si>
    <t xml:space="preserve">Outros clientes (cerca de 170)</t>
  </si>
  <si>
    <t xml:space="preserve">Vários</t>
  </si>
  <si>
    <t xml:space="preserve">Total de vendas</t>
  </si>
  <si>
    <t xml:space="preserve">EBITDA ajustado — visão da gestão</t>
  </si>
  <si>
    <t xml:space="preserve">€ milhares | Fonte: management presentation, dezembro de 2025</t>
  </si>
  <si>
    <t xml:space="preserve">Vendas</t>
  </si>
  <si>
    <t xml:space="preserve">EBITDA reportado</t>
  </si>
  <si>
    <t xml:space="preserve">Ajustamentos (itens não recorrentes, segundo a gestão)</t>
  </si>
  <si>
    <t xml:space="preserve">Custos de reestruturação</t>
  </si>
  <si>
    <t xml:space="preserve">Consultoria estratégica</t>
  </si>
  <si>
    <t xml:space="preserve">Imparidades de clientes (não recorrentes)</t>
  </si>
  <si>
    <t xml:space="preserve">Custos de arranque das novas instalações</t>
  </si>
  <si>
    <t xml:space="preserve">Total de ajustamentos</t>
  </si>
  <si>
    <t xml:space="preserve">EBITDA ajustado</t>
  </si>
  <si>
    <t xml:space="preserve">Margem EBITDA ajustada</t>
  </si>
  <si>
    <t xml:space="preserve">€ milhares</t>
  </si>
  <si>
    <t xml:space="preserve">Financiamento</t>
  </si>
  <si>
    <t xml:space="preserve">Tipo de reembolso</t>
  </si>
  <si>
    <t xml:space="preserve">Em dívida 31/12/2024</t>
  </si>
  <si>
    <t xml:space="preserve">Em dívida 31/12/2025</t>
  </si>
  <si>
    <t xml:space="preserve">Corrente (≤ 12 meses)</t>
  </si>
  <si>
    <t xml:space="preserve">Não corrente</t>
  </si>
  <si>
    <t xml:space="preserve">Vencimento final</t>
  </si>
  <si>
    <t xml:space="preserve">Taxa de juro</t>
  </si>
  <si>
    <t xml:space="preserve">Garantias e covenants</t>
  </si>
  <si>
    <t xml:space="preserve">Empréstimo bancário A</t>
  </si>
  <si>
    <t xml:space="preserve">Reembolso integral no vencimento (bullet)</t>
  </si>
  <si>
    <t xml:space="preserve">jun/2026</t>
  </si>
  <si>
    <t xml:space="preserve">Euribor 6M + 2,50%</t>
  </si>
  <si>
    <t xml:space="preserve">Hipoteca sobre equipamentos</t>
  </si>
  <si>
    <t xml:space="preserve">Empréstimo bancário B</t>
  </si>
  <si>
    <t xml:space="preserve">Amortizações semestrais</t>
  </si>
  <si>
    <t xml:space="preserve">dez/2030</t>
  </si>
  <si>
    <t xml:space="preserve">Euribor 6M + 2,00%</t>
  </si>
  <si>
    <t xml:space="preserve">Dívida líquida / EBITDA ≤ 3,0x, testado anualmente sobre as contas anuais</t>
  </si>
  <si>
    <t xml:space="preserve">Conta corrente caucionada</t>
  </si>
  <si>
    <t xml:space="preserve">Linha de curto prazo, renovável anualmente</t>
  </si>
  <si>
    <t xml:space="preserve">dez/2026</t>
  </si>
  <si>
    <t xml:space="preserve">Euribor 3M + 3,00%</t>
  </si>
  <si>
    <t xml:space="preserve">Livrança subscrita pela empresa</t>
  </si>
  <si>
    <t xml:space="preserve">Locações financeiras (viaturas)</t>
  </si>
  <si>
    <t xml:space="preserve">Rendas mensais</t>
  </si>
  <si>
    <t xml:space="preserve">2028–2029</t>
  </si>
  <si>
    <t xml:space="preserve">Fixa 4,50%</t>
  </si>
  <si>
    <t xml:space="preserve">—</t>
  </si>
  <si>
    <t xml:space="preserve">Total</t>
  </si>
  <si>
    <t xml:space="preserve">Relatório de gestão 2025 — excerto</t>
  </si>
  <si>
    <t xml:space="preserve">Texto preparado pelo Conselho de Administração</t>
  </si>
  <si>
    <t xml:space="preserve">§1 Atividade e vendas</t>
  </si>
  <si>
    <t xml:space="preserve">Em 2025, as vendas atingiram 21,4 milhões de euros, mais 9,2% do que em 2024. O crescimento resultou da expansão orgânica da carteira de clientes, com destaque para o setor automóvel e para a entrada no setor da energia.</t>
  </si>
  <si>
    <t xml:space="preserve">§2 Margens</t>
  </si>
  <si>
    <t xml:space="preserve">Apesar da pressão sobre os preços de compra, a Duriva manteve as margens estáveis face ao ano anterior, graças à disciplina comercial da equipa.</t>
  </si>
  <si>
    <t xml:space="preserve">§3 Capital de giro</t>
  </si>
  <si>
    <t xml:space="preserve">A empresa manteve uma política de crédito prudente junto dos clientes. Os stocks foram reforçados no final do ano para responder à procura prevista para 2026.</t>
  </si>
  <si>
    <t xml:space="preserve">§4 Investimento e património</t>
  </si>
  <si>
    <t xml:space="preserve">Em 2025, a empresa vendeu o armazém de Vila Nova de Gaia, considerado não estratégico, e concentrou a operação em instalações arrendadas na Maia. O investimento em equipamentos e viaturas atingiu 520 mil euros.</t>
  </si>
  <si>
    <t xml:space="preserve">§5 Financiamento e perspetivas</t>
  </si>
  <si>
    <t xml:space="preserve">O EBITDA ajustado atingiu um máximo histórico de 1,87 milhões de euros. A administração prevê refinanciar o empréstimo bancário A durante o primeiro semestre de 2026. Em 2025, a empresa distribuiu 400 mil euros de dividendos aos acionistas.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</si>
</sst>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"/>
    <numFmt numFmtId="167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" hidden="false" customHeight="true" outlineLevel="0" collapsed="false">
      <c r="A4" s="3" t="s">
        <v>2</v>
      </c>
      <c r="B4" s="4" t="s">
        <v>3</v>
      </c>
    </row>
    <row r="5" customFormat="false" ht="27" hidden="false" customHeight="true" outlineLevel="0" collapsed="false">
      <c r="A5" s="3" t="s">
        <v>4</v>
      </c>
      <c r="B5" s="4" t="s">
        <v>5</v>
      </c>
    </row>
    <row r="6" customFormat="false" ht="15" hidden="false" customHeight="true" outlineLevel="0" collapsed="false">
      <c r="A6" s="3" t="s">
        <v>6</v>
      </c>
      <c r="B6" s="4" t="s">
        <v>7</v>
      </c>
    </row>
    <row r="7" customFormat="false" ht="15" hidden="false" customHeight="true" outlineLevel="0" collapsed="false">
      <c r="A7" s="3" t="s">
        <v>8</v>
      </c>
      <c r="B7" s="4" t="s">
        <v>9</v>
      </c>
    </row>
    <row r="8" customFormat="false" ht="15" hidden="false" customHeight="true" outlineLevel="0" collapsed="false">
      <c r="A8" s="3" t="s">
        <v>10</v>
      </c>
      <c r="B8" s="4" t="s">
        <v>11</v>
      </c>
    </row>
    <row r="9" customFormat="false" ht="15" hidden="false" customHeight="true" outlineLevel="0" collapsed="false">
      <c r="A9" s="3" t="s">
        <v>12</v>
      </c>
      <c r="B9" s="4" t="s">
        <v>13</v>
      </c>
    </row>
    <row r="11" customFormat="false" ht="15" hidden="false" customHeight="false" outlineLevel="0" collapsed="false">
      <c r="A11" s="5" t="s">
        <v>14</v>
      </c>
      <c r="B11" s="6" t="s">
        <v>15</v>
      </c>
    </row>
    <row r="12" customFormat="false" ht="15" hidden="false" customHeight="false" outlineLevel="0" collapsed="false">
      <c r="A12" s="7" t="s">
        <v>16</v>
      </c>
      <c r="B12" s="7" t="s">
        <v>17</v>
      </c>
    </row>
    <row r="13" customFormat="false" ht="15" hidden="false" customHeight="false" outlineLevel="0" collapsed="false">
      <c r="A13" s="7" t="s">
        <v>18</v>
      </c>
      <c r="B13" s="7" t="s">
        <v>19</v>
      </c>
    </row>
    <row r="14" customFormat="false" ht="15" hidden="false" customHeight="false" outlineLevel="0" collapsed="false">
      <c r="A14" s="7" t="s">
        <v>20</v>
      </c>
      <c r="B14" s="7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</row>
    <row r="16" customFormat="false" ht="15" hidden="false" customHeight="false" outlineLevel="0" collapsed="false">
      <c r="A16" s="7" t="s">
        <v>24</v>
      </c>
      <c r="B16" s="7" t="s">
        <v>25</v>
      </c>
    </row>
    <row r="17" customFormat="false" ht="15" hidden="false" customHeight="false" outlineLevel="0" collapsed="false">
      <c r="A17" s="7" t="s">
        <v>26</v>
      </c>
      <c r="B17" s="7" t="s">
        <v>27</v>
      </c>
    </row>
    <row r="18" customFormat="false" ht="15" hidden="false" customHeight="false" outlineLevel="0" collapsed="false">
      <c r="A18" s="7" t="s">
        <v>28</v>
      </c>
      <c r="B18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5" t="s">
        <v>32</v>
      </c>
      <c r="B4" s="6" t="s">
        <v>33</v>
      </c>
      <c r="C4" s="6" t="s">
        <v>34</v>
      </c>
      <c r="D4" s="6" t="s">
        <v>35</v>
      </c>
    </row>
    <row r="5" customFormat="false" ht="15" hidden="false" customHeight="false" outlineLevel="0" collapsed="false">
      <c r="A5" s="8" t="s">
        <v>36</v>
      </c>
      <c r="B5" s="9" t="n">
        <v>18400</v>
      </c>
      <c r="C5" s="9" t="n">
        <v>19600</v>
      </c>
      <c r="D5" s="9" t="n">
        <v>21400</v>
      </c>
    </row>
    <row r="6" customFormat="false" ht="15" hidden="false" customHeight="false" outlineLevel="0" collapsed="false">
      <c r="A6" s="8" t="s">
        <v>37</v>
      </c>
      <c r="B6" s="9" t="n">
        <v>-13140</v>
      </c>
      <c r="C6" s="9" t="n">
        <v>-14070</v>
      </c>
      <c r="D6" s="9" t="n">
        <v>-16110</v>
      </c>
    </row>
    <row r="7" customFormat="false" ht="15" hidden="false" customHeight="false" outlineLevel="0" collapsed="false">
      <c r="A7" s="10" t="s">
        <v>38</v>
      </c>
      <c r="B7" s="11" t="n">
        <f aca="false">B5+B6</f>
        <v>5260</v>
      </c>
      <c r="C7" s="11" t="n">
        <f aca="false">C5+C6</f>
        <v>5530</v>
      </c>
      <c r="D7" s="11" t="n">
        <f aca="false">D5+D6</f>
        <v>5290</v>
      </c>
    </row>
    <row r="8" customFormat="false" ht="15" hidden="false" customHeight="false" outlineLevel="0" collapsed="false">
      <c r="A8" s="8" t="s">
        <v>39</v>
      </c>
      <c r="B8" s="9" t="n">
        <v>-1950</v>
      </c>
      <c r="C8" s="9" t="n">
        <v>-2050</v>
      </c>
      <c r="D8" s="9" t="n">
        <v>-2140</v>
      </c>
    </row>
    <row r="9" customFormat="false" ht="15" hidden="false" customHeight="false" outlineLevel="0" collapsed="false">
      <c r="A9" s="8" t="s">
        <v>40</v>
      </c>
      <c r="B9" s="9" t="n">
        <v>-1690</v>
      </c>
      <c r="C9" s="9" t="n">
        <v>-1760</v>
      </c>
      <c r="D9" s="9" t="n">
        <v>-1830</v>
      </c>
    </row>
    <row r="10" customFormat="false" ht="15" hidden="false" customHeight="false" outlineLevel="0" collapsed="false">
      <c r="A10" s="8" t="s">
        <v>41</v>
      </c>
      <c r="B10" s="9" t="n">
        <v>-55</v>
      </c>
      <c r="C10" s="9" t="n">
        <v>-85</v>
      </c>
      <c r="D10" s="9" t="n">
        <v>-160</v>
      </c>
    </row>
    <row r="11" customFormat="false" ht="15" hidden="false" customHeight="false" outlineLevel="0" collapsed="false">
      <c r="A11" s="8" t="s">
        <v>42</v>
      </c>
      <c r="B11" s="9" t="n">
        <v>45</v>
      </c>
      <c r="C11" s="9" t="n">
        <v>50</v>
      </c>
      <c r="D11" s="9" t="n">
        <v>310</v>
      </c>
    </row>
    <row r="12" customFormat="false" ht="15" hidden="false" customHeight="false" outlineLevel="0" collapsed="false">
      <c r="A12" s="8" t="s">
        <v>43</v>
      </c>
      <c r="B12" s="9" t="n">
        <v>-50</v>
      </c>
      <c r="C12" s="9" t="n">
        <v>-45</v>
      </c>
      <c r="D12" s="9" t="n">
        <v>-55</v>
      </c>
    </row>
    <row r="13" customFormat="false" ht="15" hidden="false" customHeight="false" outlineLevel="0" collapsed="false">
      <c r="A13" s="10" t="s">
        <v>44</v>
      </c>
      <c r="B13" s="11" t="n">
        <f aca="false">B7+SUM(B8:B12)</f>
        <v>1560</v>
      </c>
      <c r="C13" s="11" t="n">
        <f aca="false">C7+SUM(C8:C12)</f>
        <v>1640</v>
      </c>
      <c r="D13" s="11" t="n">
        <f aca="false">D7+SUM(D8:D12)</f>
        <v>1415</v>
      </c>
    </row>
    <row r="14" customFormat="false" ht="15" hidden="false" customHeight="false" outlineLevel="0" collapsed="false">
      <c r="A14" s="8" t="s">
        <v>45</v>
      </c>
      <c r="B14" s="9" t="n">
        <v>-380</v>
      </c>
      <c r="C14" s="9" t="n">
        <v>-400</v>
      </c>
      <c r="D14" s="9" t="n">
        <v>-430</v>
      </c>
    </row>
    <row r="15" customFormat="false" ht="15" hidden="false" customHeight="false" outlineLevel="0" collapsed="false">
      <c r="A15" s="10" t="s">
        <v>46</v>
      </c>
      <c r="B15" s="11" t="n">
        <f aca="false">B13+B14</f>
        <v>1180</v>
      </c>
      <c r="C15" s="11" t="n">
        <f aca="false">C13+C14</f>
        <v>1240</v>
      </c>
      <c r="D15" s="11" t="n">
        <f aca="false">D13+D14</f>
        <v>985</v>
      </c>
    </row>
    <row r="16" customFormat="false" ht="15" hidden="false" customHeight="false" outlineLevel="0" collapsed="false">
      <c r="A16" s="8" t="s">
        <v>47</v>
      </c>
      <c r="B16" s="9" t="n">
        <v>-215</v>
      </c>
      <c r="C16" s="9" t="n">
        <v>-205</v>
      </c>
      <c r="D16" s="9" t="n">
        <v>-230</v>
      </c>
    </row>
    <row r="17" customFormat="false" ht="15" hidden="false" customHeight="false" outlineLevel="0" collapsed="false">
      <c r="A17" s="10" t="s">
        <v>48</v>
      </c>
      <c r="B17" s="11" t="n">
        <f aca="false">B15+B16</f>
        <v>965</v>
      </c>
      <c r="C17" s="11" t="n">
        <f aca="false">C15+C16</f>
        <v>1035</v>
      </c>
      <c r="D17" s="11" t="n">
        <f aca="false">D15+D16</f>
        <v>755</v>
      </c>
    </row>
    <row r="18" customFormat="false" ht="15" hidden="false" customHeight="false" outlineLevel="0" collapsed="false">
      <c r="A18" s="8" t="s">
        <v>49</v>
      </c>
      <c r="B18" s="9" t="n">
        <v>-222</v>
      </c>
      <c r="C18" s="9" t="n">
        <v>-238</v>
      </c>
      <c r="D18" s="9" t="n">
        <v>-174</v>
      </c>
    </row>
    <row r="19" customFormat="false" ht="15" hidden="false" customHeight="false" outlineLevel="0" collapsed="false">
      <c r="A19" s="10" t="s">
        <v>50</v>
      </c>
      <c r="B19" s="11" t="n">
        <f aca="false">B17+B18</f>
        <v>743</v>
      </c>
      <c r="C19" s="11" t="n">
        <f aca="false">C17+C18</f>
        <v>797</v>
      </c>
      <c r="D19" s="11" t="n">
        <f aca="false">D17+D18</f>
        <v>581</v>
      </c>
    </row>
    <row r="21" customFormat="false" ht="15" hidden="false" customHeight="false" outlineLevel="0" collapsed="false">
      <c r="A21" s="3" t="s">
        <v>51</v>
      </c>
    </row>
    <row r="22" customFormat="false" ht="15" hidden="false" customHeight="false" outlineLevel="0" collapsed="false">
      <c r="A22" s="8" t="s">
        <v>52</v>
      </c>
      <c r="B22" s="12" t="n">
        <v>52</v>
      </c>
      <c r="C22" s="12" t="n">
        <v>54</v>
      </c>
      <c r="D22" s="12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5" t="s">
        <v>32</v>
      </c>
      <c r="B4" s="6" t="s">
        <v>54</v>
      </c>
      <c r="C4" s="6" t="s">
        <v>33</v>
      </c>
      <c r="D4" s="6" t="s">
        <v>34</v>
      </c>
      <c r="E4" s="6" t="s">
        <v>35</v>
      </c>
    </row>
    <row r="5" customFormat="false" ht="15" hidden="false" customHeight="false" outlineLevel="0" collapsed="false">
      <c r="A5" s="13" t="s">
        <v>55</v>
      </c>
      <c r="B5" s="14"/>
      <c r="C5" s="14"/>
      <c r="D5" s="14"/>
      <c r="E5" s="14"/>
    </row>
    <row r="6" customFormat="false" ht="15" hidden="false" customHeight="false" outlineLevel="0" collapsed="false">
      <c r="A6" s="8" t="s">
        <v>56</v>
      </c>
      <c r="B6" s="9" t="n">
        <v>3600</v>
      </c>
      <c r="C6" s="9" t="n">
        <v>3640</v>
      </c>
      <c r="D6" s="9" t="n">
        <v>3690</v>
      </c>
      <c r="E6" s="9" t="n">
        <v>3430</v>
      </c>
    </row>
    <row r="7" customFormat="false" ht="15" hidden="false" customHeight="false" outlineLevel="0" collapsed="false">
      <c r="A7" s="10" t="s">
        <v>57</v>
      </c>
      <c r="B7" s="11" t="n">
        <f aca="false">B6</f>
        <v>3600</v>
      </c>
      <c r="C7" s="11" t="n">
        <f aca="false">C6</f>
        <v>3640</v>
      </c>
      <c r="D7" s="11" t="n">
        <f aca="false">D6</f>
        <v>3690</v>
      </c>
      <c r="E7" s="11" t="n">
        <f aca="false">E6</f>
        <v>3430</v>
      </c>
    </row>
    <row r="8" customFormat="false" ht="15" hidden="false" customHeight="false" outlineLevel="0" collapsed="false">
      <c r="A8" s="8" t="s">
        <v>58</v>
      </c>
      <c r="B8" s="9" t="n">
        <v>2480</v>
      </c>
      <c r="C8" s="9" t="n">
        <v>2592</v>
      </c>
      <c r="D8" s="9" t="n">
        <v>2814</v>
      </c>
      <c r="E8" s="9" t="n">
        <v>3531</v>
      </c>
    </row>
    <row r="9" customFormat="false" ht="15" hidden="false" customHeight="false" outlineLevel="0" collapsed="false">
      <c r="A9" s="8" t="s">
        <v>59</v>
      </c>
      <c r="B9" s="9" t="n">
        <v>2980</v>
      </c>
      <c r="C9" s="9" t="n">
        <v>3125</v>
      </c>
      <c r="D9" s="9" t="n">
        <v>3383</v>
      </c>
      <c r="E9" s="9" t="n">
        <v>4222</v>
      </c>
    </row>
    <row r="10" customFormat="false" ht="15" hidden="false" customHeight="false" outlineLevel="0" collapsed="false">
      <c r="A10" s="8" t="s">
        <v>60</v>
      </c>
      <c r="B10" s="9" t="n">
        <v>310</v>
      </c>
      <c r="C10" s="9" t="n">
        <v>320</v>
      </c>
      <c r="D10" s="9" t="n">
        <v>335</v>
      </c>
      <c r="E10" s="9" t="n">
        <v>350</v>
      </c>
    </row>
    <row r="11" customFormat="false" ht="15" hidden="false" customHeight="false" outlineLevel="0" collapsed="false">
      <c r="A11" s="8" t="s">
        <v>61</v>
      </c>
      <c r="B11" s="9" t="n">
        <v>650</v>
      </c>
      <c r="C11" s="9" t="n">
        <v>636</v>
      </c>
      <c r="D11" s="9" t="n">
        <v>537</v>
      </c>
      <c r="E11" s="9" t="n">
        <v>603</v>
      </c>
    </row>
    <row r="12" customFormat="false" ht="15" hidden="false" customHeight="false" outlineLevel="0" collapsed="false">
      <c r="A12" s="10" t="s">
        <v>62</v>
      </c>
      <c r="B12" s="11" t="n">
        <f aca="false">SUM(B8:B11)</f>
        <v>6420</v>
      </c>
      <c r="C12" s="11" t="n">
        <f aca="false">SUM(C8:C11)</f>
        <v>6673</v>
      </c>
      <c r="D12" s="11" t="n">
        <f aca="false">SUM(D8:D11)</f>
        <v>7069</v>
      </c>
      <c r="E12" s="11" t="n">
        <f aca="false">SUM(E8:E11)</f>
        <v>8706</v>
      </c>
    </row>
    <row r="13" customFormat="false" ht="15" hidden="false" customHeight="false" outlineLevel="0" collapsed="false">
      <c r="A13" s="10" t="s">
        <v>63</v>
      </c>
      <c r="B13" s="11" t="n">
        <f aca="false">B7+B12</f>
        <v>10020</v>
      </c>
      <c r="C13" s="11" t="n">
        <f aca="false">C7+C12</f>
        <v>10313</v>
      </c>
      <c r="D13" s="11" t="n">
        <f aca="false">D7+D12</f>
        <v>10759</v>
      </c>
      <c r="E13" s="11" t="n">
        <f aca="false">E7+E12</f>
        <v>12136</v>
      </c>
    </row>
    <row r="15" customFormat="false" ht="15" hidden="false" customHeight="false" outlineLevel="0" collapsed="false">
      <c r="A15" s="13" t="s">
        <v>64</v>
      </c>
      <c r="B15" s="14"/>
      <c r="C15" s="14"/>
      <c r="D15" s="14"/>
      <c r="E15" s="14"/>
    </row>
    <row r="16" customFormat="false" ht="15" hidden="false" customHeight="false" outlineLevel="0" collapsed="false">
      <c r="A16" s="8" t="s">
        <v>65</v>
      </c>
      <c r="B16" s="9" t="n">
        <v>500</v>
      </c>
      <c r="C16" s="9" t="n">
        <v>500</v>
      </c>
      <c r="D16" s="9" t="n">
        <v>500</v>
      </c>
      <c r="E16" s="9" t="n">
        <v>500</v>
      </c>
    </row>
    <row r="17" customFormat="false" ht="15" hidden="false" customHeight="false" outlineLevel="0" collapsed="false">
      <c r="A17" s="8" t="s">
        <v>66</v>
      </c>
      <c r="B17" s="9" t="n">
        <v>2050</v>
      </c>
      <c r="C17" s="9" t="n">
        <v>2400</v>
      </c>
      <c r="D17" s="9" t="n">
        <v>2793</v>
      </c>
      <c r="E17" s="9" t="n">
        <v>3190</v>
      </c>
    </row>
    <row r="18" customFormat="false" ht="15" hidden="false" customHeight="false" outlineLevel="0" collapsed="false">
      <c r="A18" s="8" t="s">
        <v>50</v>
      </c>
      <c r="B18" s="9" t="n">
        <v>650</v>
      </c>
      <c r="C18" s="9" t="n">
        <v>743</v>
      </c>
      <c r="D18" s="9" t="n">
        <v>797</v>
      </c>
      <c r="E18" s="9" t="n">
        <v>581</v>
      </c>
    </row>
    <row r="19" customFormat="false" ht="15" hidden="false" customHeight="false" outlineLevel="0" collapsed="false">
      <c r="A19" s="10" t="s">
        <v>67</v>
      </c>
      <c r="B19" s="11" t="n">
        <f aca="false">SUM(B16:B18)</f>
        <v>3200</v>
      </c>
      <c r="C19" s="11" t="n">
        <f aca="false">SUM(C16:C18)</f>
        <v>3643</v>
      </c>
      <c r="D19" s="11" t="n">
        <f aca="false">SUM(D16:D18)</f>
        <v>4090</v>
      </c>
      <c r="E19" s="11" t="n">
        <f aca="false">SUM(E16:E18)</f>
        <v>4271</v>
      </c>
    </row>
    <row r="20" customFormat="false" ht="15" hidden="false" customHeight="false" outlineLevel="0" collapsed="false">
      <c r="A20" s="8" t="s">
        <v>68</v>
      </c>
      <c r="B20" s="9" t="n">
        <v>3500</v>
      </c>
      <c r="C20" s="9" t="n">
        <v>3300</v>
      </c>
      <c r="D20" s="9" t="n">
        <v>3050</v>
      </c>
      <c r="E20" s="9" t="n">
        <v>1950</v>
      </c>
    </row>
    <row r="21" customFormat="false" ht="15" hidden="false" customHeight="false" outlineLevel="0" collapsed="false">
      <c r="A21" s="10" t="s">
        <v>69</v>
      </c>
      <c r="B21" s="11" t="n">
        <f aca="false">B20</f>
        <v>3500</v>
      </c>
      <c r="C21" s="11" t="n">
        <f aca="false">C20</f>
        <v>3300</v>
      </c>
      <c r="D21" s="11" t="n">
        <f aca="false">D20</f>
        <v>3050</v>
      </c>
      <c r="E21" s="11" t="n">
        <f aca="false">E20</f>
        <v>1950</v>
      </c>
    </row>
    <row r="22" customFormat="false" ht="15" hidden="false" customHeight="false" outlineLevel="0" collapsed="false">
      <c r="A22" s="8" t="s">
        <v>70</v>
      </c>
      <c r="B22" s="9" t="n">
        <v>1900</v>
      </c>
      <c r="C22" s="9" t="n">
        <v>1980</v>
      </c>
      <c r="D22" s="9" t="n">
        <v>2159</v>
      </c>
      <c r="E22" s="9" t="n">
        <v>2825</v>
      </c>
    </row>
    <row r="23" customFormat="false" ht="15" hidden="false" customHeight="false" outlineLevel="0" collapsed="false">
      <c r="A23" s="8" t="s">
        <v>71</v>
      </c>
      <c r="B23" s="9" t="n">
        <v>800</v>
      </c>
      <c r="C23" s="9" t="n">
        <v>750</v>
      </c>
      <c r="D23" s="9" t="n">
        <v>800</v>
      </c>
      <c r="E23" s="9" t="n">
        <v>2400</v>
      </c>
    </row>
    <row r="24" customFormat="false" ht="15" hidden="false" customHeight="false" outlineLevel="0" collapsed="false">
      <c r="A24" s="8" t="s">
        <v>72</v>
      </c>
      <c r="B24" s="9" t="n">
        <v>620</v>
      </c>
      <c r="C24" s="9" t="n">
        <v>640</v>
      </c>
      <c r="D24" s="9" t="n">
        <v>660</v>
      </c>
      <c r="E24" s="9" t="n">
        <v>690</v>
      </c>
    </row>
    <row r="25" customFormat="false" ht="15" hidden="false" customHeight="false" outlineLevel="0" collapsed="false">
      <c r="A25" s="10" t="s">
        <v>73</v>
      </c>
      <c r="B25" s="11" t="n">
        <f aca="false">SUM(B22:B24)</f>
        <v>3320</v>
      </c>
      <c r="C25" s="11" t="n">
        <f aca="false">SUM(C22:C24)</f>
        <v>3370</v>
      </c>
      <c r="D25" s="11" t="n">
        <f aca="false">SUM(D22:D24)</f>
        <v>3619</v>
      </c>
      <c r="E25" s="11" t="n">
        <f aca="false">SUM(E22:E24)</f>
        <v>5915</v>
      </c>
    </row>
    <row r="26" customFormat="false" ht="15" hidden="false" customHeight="false" outlineLevel="0" collapsed="false">
      <c r="A26" s="10" t="s">
        <v>74</v>
      </c>
      <c r="B26" s="11" t="n">
        <f aca="false">B21+B25</f>
        <v>6820</v>
      </c>
      <c r="C26" s="11" t="n">
        <f aca="false">C21+C25</f>
        <v>6670</v>
      </c>
      <c r="D26" s="11" t="n">
        <f aca="false">D21+D25</f>
        <v>6669</v>
      </c>
      <c r="E26" s="11" t="n">
        <f aca="false">E21+E25</f>
        <v>7865</v>
      </c>
    </row>
    <row r="27" customFormat="false" ht="15" hidden="false" customHeight="false" outlineLevel="0" collapsed="false">
      <c r="A27" s="10" t="s">
        <v>75</v>
      </c>
      <c r="B27" s="11" t="n">
        <f aca="false">B19+B26</f>
        <v>10020</v>
      </c>
      <c r="C27" s="11" t="n">
        <f aca="false">C19+C26</f>
        <v>10313</v>
      </c>
      <c r="D27" s="11" t="n">
        <f aca="false">D19+D26</f>
        <v>10759</v>
      </c>
      <c r="E27" s="11" t="n">
        <f aca="false">E19+E26</f>
        <v>12136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5" t="s">
        <v>32</v>
      </c>
      <c r="B4" s="6" t="s">
        <v>33</v>
      </c>
      <c r="C4" s="6" t="s">
        <v>34</v>
      </c>
      <c r="D4" s="6" t="s">
        <v>35</v>
      </c>
    </row>
    <row r="5" customFormat="false" ht="15" hidden="false" customHeight="false" outlineLevel="0" collapsed="false">
      <c r="A5" s="8" t="s">
        <v>50</v>
      </c>
      <c r="B5" s="9" t="n">
        <v>743</v>
      </c>
      <c r="C5" s="9" t="n">
        <v>797</v>
      </c>
      <c r="D5" s="9" t="n">
        <v>581</v>
      </c>
    </row>
    <row r="6" customFormat="false" ht="15" hidden="false" customHeight="false" outlineLevel="0" collapsed="false">
      <c r="A6" s="8" t="s">
        <v>45</v>
      </c>
      <c r="B6" s="9" t="n">
        <v>380</v>
      </c>
      <c r="C6" s="9" t="n">
        <v>400</v>
      </c>
      <c r="D6" s="9" t="n">
        <v>430</v>
      </c>
    </row>
    <row r="7" customFormat="false" ht="15" hidden="false" customHeight="false" outlineLevel="0" collapsed="false">
      <c r="A7" s="8" t="s">
        <v>77</v>
      </c>
      <c r="B7" s="9" t="n">
        <v>215</v>
      </c>
      <c r="C7" s="9" t="n">
        <v>205</v>
      </c>
      <c r="D7" s="9" t="n">
        <v>230</v>
      </c>
    </row>
    <row r="8" customFormat="false" ht="15" hidden="false" customHeight="false" outlineLevel="0" collapsed="false">
      <c r="A8" s="8" t="s">
        <v>78</v>
      </c>
      <c r="B8" s="9" t="n">
        <v>222</v>
      </c>
      <c r="C8" s="9" t="n">
        <v>238</v>
      </c>
      <c r="D8" s="9" t="n">
        <v>174</v>
      </c>
    </row>
    <row r="9" customFormat="false" ht="15" hidden="false" customHeight="false" outlineLevel="0" collapsed="false">
      <c r="A9" s="8" t="s">
        <v>79</v>
      </c>
      <c r="B9" s="9" t="n">
        <v>0</v>
      </c>
      <c r="C9" s="9" t="n">
        <v>0</v>
      </c>
      <c r="D9" s="9" t="n">
        <v>-250</v>
      </c>
    </row>
    <row r="10" customFormat="false" ht="15" hidden="false" customHeight="false" outlineLevel="0" collapsed="false">
      <c r="A10" s="8" t="s">
        <v>80</v>
      </c>
      <c r="B10" s="9" t="n">
        <v>-145</v>
      </c>
      <c r="C10" s="9" t="n">
        <v>-258</v>
      </c>
      <c r="D10" s="9" t="n">
        <v>-839</v>
      </c>
    </row>
    <row r="11" customFormat="false" ht="15" hidden="false" customHeight="false" outlineLevel="0" collapsed="false">
      <c r="A11" s="8" t="s">
        <v>81</v>
      </c>
      <c r="B11" s="9" t="n">
        <v>-112</v>
      </c>
      <c r="C11" s="9" t="n">
        <v>-137</v>
      </c>
      <c r="D11" s="9" t="n">
        <v>-717</v>
      </c>
    </row>
    <row r="12" customFormat="false" ht="15" hidden="false" customHeight="false" outlineLevel="0" collapsed="false">
      <c r="A12" s="8" t="s">
        <v>82</v>
      </c>
      <c r="B12" s="9" t="n">
        <v>80</v>
      </c>
      <c r="C12" s="9" t="n">
        <v>179</v>
      </c>
      <c r="D12" s="9" t="n">
        <v>666</v>
      </c>
    </row>
    <row r="13" customFormat="false" ht="15" hidden="false" customHeight="false" outlineLevel="0" collapsed="false">
      <c r="A13" s="8" t="s">
        <v>83</v>
      </c>
      <c r="B13" s="9" t="n">
        <v>-10</v>
      </c>
      <c r="C13" s="9" t="n">
        <v>-15</v>
      </c>
      <c r="D13" s="9" t="n">
        <v>-15</v>
      </c>
    </row>
    <row r="14" customFormat="false" ht="15" hidden="false" customHeight="false" outlineLevel="0" collapsed="false">
      <c r="A14" s="8" t="s">
        <v>84</v>
      </c>
      <c r="B14" s="9" t="n">
        <v>20</v>
      </c>
      <c r="C14" s="9" t="n">
        <v>20</v>
      </c>
      <c r="D14" s="9" t="n">
        <v>30</v>
      </c>
    </row>
    <row r="15" customFormat="false" ht="15" hidden="false" customHeight="false" outlineLevel="0" collapsed="false">
      <c r="A15" s="10" t="s">
        <v>85</v>
      </c>
      <c r="B15" s="11" t="n">
        <f aca="false">SUM(B5:B14)</f>
        <v>1393</v>
      </c>
      <c r="C15" s="11" t="n">
        <f aca="false">SUM(C5:C14)</f>
        <v>1429</v>
      </c>
      <c r="D15" s="11" t="n">
        <f aca="false">SUM(D5:D14)</f>
        <v>290</v>
      </c>
    </row>
    <row r="16" customFormat="false" ht="15" hidden="false" customHeight="false" outlineLevel="0" collapsed="false">
      <c r="A16" s="8" t="s">
        <v>86</v>
      </c>
      <c r="B16" s="9" t="n">
        <v>-215</v>
      </c>
      <c r="C16" s="9" t="n">
        <v>-205</v>
      </c>
      <c r="D16" s="9" t="n">
        <v>-230</v>
      </c>
    </row>
    <row r="17" customFormat="false" ht="15" hidden="false" customHeight="false" outlineLevel="0" collapsed="false">
      <c r="A17" s="8" t="s">
        <v>87</v>
      </c>
      <c r="B17" s="9" t="n">
        <v>-222</v>
      </c>
      <c r="C17" s="9" t="n">
        <v>-238</v>
      </c>
      <c r="D17" s="9" t="n">
        <v>-174</v>
      </c>
    </row>
    <row r="18" customFormat="false" ht="15" hidden="false" customHeight="false" outlineLevel="0" collapsed="false">
      <c r="A18" s="10" t="s">
        <v>88</v>
      </c>
      <c r="B18" s="11" t="n">
        <f aca="false">B15+B16+B17</f>
        <v>956</v>
      </c>
      <c r="C18" s="11" t="n">
        <f aca="false">C15+C16+C17</f>
        <v>986</v>
      </c>
      <c r="D18" s="11" t="n">
        <f aca="false">D15+D16+D17</f>
        <v>-114</v>
      </c>
    </row>
    <row r="20" customFormat="false" ht="15" hidden="false" customHeight="false" outlineLevel="0" collapsed="false">
      <c r="A20" s="8" t="s">
        <v>89</v>
      </c>
      <c r="B20" s="9" t="n">
        <v>-420</v>
      </c>
      <c r="C20" s="9" t="n">
        <v>-450</v>
      </c>
      <c r="D20" s="9" t="n">
        <v>-520</v>
      </c>
    </row>
    <row r="21" customFormat="false" ht="15" hidden="false" customHeight="false" outlineLevel="0" collapsed="false">
      <c r="A21" s="8" t="s">
        <v>90</v>
      </c>
      <c r="B21" s="9" t="n">
        <v>0</v>
      </c>
      <c r="C21" s="9" t="n">
        <v>0</v>
      </c>
      <c r="D21" s="9" t="n">
        <v>600</v>
      </c>
    </row>
    <row r="22" customFormat="false" ht="15" hidden="false" customHeight="false" outlineLevel="0" collapsed="false">
      <c r="A22" s="10" t="s">
        <v>91</v>
      </c>
      <c r="B22" s="11" t="n">
        <f aca="false">B20+B21</f>
        <v>-420</v>
      </c>
      <c r="C22" s="11" t="n">
        <f aca="false">C20+C21</f>
        <v>-450</v>
      </c>
      <c r="D22" s="11" t="n">
        <f aca="false">D20+D21</f>
        <v>80</v>
      </c>
    </row>
    <row r="24" customFormat="false" ht="15" hidden="false" customHeight="false" outlineLevel="0" collapsed="false">
      <c r="A24" s="8" t="s">
        <v>92</v>
      </c>
      <c r="B24" s="9" t="n">
        <v>0</v>
      </c>
      <c r="C24" s="9" t="n">
        <v>300</v>
      </c>
      <c r="D24" s="9" t="n">
        <v>800</v>
      </c>
    </row>
    <row r="25" customFormat="false" ht="15" hidden="false" customHeight="false" outlineLevel="0" collapsed="false">
      <c r="A25" s="8" t="s">
        <v>93</v>
      </c>
      <c r="B25" s="9" t="n">
        <v>-250</v>
      </c>
      <c r="C25" s="9" t="n">
        <v>-500</v>
      </c>
      <c r="D25" s="9" t="n">
        <v>-300</v>
      </c>
    </row>
    <row r="26" customFormat="false" ht="15" hidden="false" customHeight="false" outlineLevel="0" collapsed="false">
      <c r="A26" s="8" t="s">
        <v>94</v>
      </c>
      <c r="B26" s="9" t="n">
        <v>-300</v>
      </c>
      <c r="C26" s="9" t="n">
        <v>-350</v>
      </c>
      <c r="D26" s="9" t="n">
        <v>-400</v>
      </c>
    </row>
    <row r="27" customFormat="false" ht="15" hidden="false" customHeight="false" outlineLevel="0" collapsed="false">
      <c r="A27" s="10" t="s">
        <v>95</v>
      </c>
      <c r="B27" s="11" t="n">
        <f aca="false">SUM(B24:B26)</f>
        <v>-550</v>
      </c>
      <c r="C27" s="11" t="n">
        <f aca="false">SUM(C24:C26)</f>
        <v>-550</v>
      </c>
      <c r="D27" s="11" t="n">
        <f aca="false">SUM(D24:D26)</f>
        <v>100</v>
      </c>
    </row>
    <row r="29" customFormat="false" ht="15" hidden="false" customHeight="false" outlineLevel="0" collapsed="false">
      <c r="A29" s="10" t="s">
        <v>96</v>
      </c>
      <c r="B29" s="11" t="n">
        <f aca="false">B18+B22+B27</f>
        <v>-14</v>
      </c>
      <c r="C29" s="11" t="n">
        <f aca="false">C18+C22+C27</f>
        <v>-14</v>
      </c>
      <c r="D29" s="11" t="n">
        <f aca="false">D18+D22+D27</f>
        <v>66</v>
      </c>
    </row>
    <row r="30" customFormat="false" ht="15" hidden="false" customHeight="false" outlineLevel="0" collapsed="false">
      <c r="A30" s="8" t="s">
        <v>97</v>
      </c>
      <c r="B30" s="9" t="n">
        <v>650</v>
      </c>
      <c r="C30" s="9" t="n">
        <v>636</v>
      </c>
      <c r="D30" s="9" t="n">
        <v>537</v>
      </c>
    </row>
    <row r="31" customFormat="false" ht="15" hidden="false" customHeight="false" outlineLevel="0" collapsed="false">
      <c r="A31" s="10" t="s">
        <v>98</v>
      </c>
      <c r="B31" s="11" t="n">
        <f aca="false">B30+B29</f>
        <v>636</v>
      </c>
      <c r="C31" s="11" t="n">
        <f aca="false">C30+C29</f>
        <v>622</v>
      </c>
      <c r="D31" s="11" t="n">
        <f aca="false">D30+D29</f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5" t="s">
        <v>101</v>
      </c>
      <c r="B4" s="6" t="s">
        <v>102</v>
      </c>
      <c r="C4" s="6" t="s">
        <v>33</v>
      </c>
      <c r="D4" s="6" t="s">
        <v>103</v>
      </c>
      <c r="E4" s="6" t="s">
        <v>34</v>
      </c>
      <c r="F4" s="6" t="s">
        <v>104</v>
      </c>
      <c r="G4" s="6" t="s">
        <v>35</v>
      </c>
      <c r="H4" s="6" t="s">
        <v>105</v>
      </c>
    </row>
    <row r="5" customFormat="false" ht="15" hidden="false" customHeight="false" outlineLevel="0" collapsed="false">
      <c r="A5" s="7" t="s">
        <v>106</v>
      </c>
      <c r="B5" s="7" t="s">
        <v>107</v>
      </c>
      <c r="C5" s="9" t="n">
        <v>2760</v>
      </c>
      <c r="D5" s="15" t="n">
        <f aca="false">C5/C$16</f>
        <v>0.15</v>
      </c>
      <c r="E5" s="9" t="n">
        <v>3530</v>
      </c>
      <c r="F5" s="15" t="n">
        <f aca="false">E5/E$16</f>
        <v>0.180102040816327</v>
      </c>
      <c r="G5" s="9" t="n">
        <v>5100</v>
      </c>
      <c r="H5" s="15" t="n">
        <f aca="false">G5/G$16</f>
        <v>0.238317757009346</v>
      </c>
    </row>
    <row r="6" customFormat="false" ht="15" hidden="false" customHeight="false" outlineLevel="0" collapsed="false">
      <c r="A6" s="7" t="s">
        <v>108</v>
      </c>
      <c r="B6" s="7" t="s">
        <v>109</v>
      </c>
      <c r="C6" s="9" t="n">
        <v>1470</v>
      </c>
      <c r="D6" s="15" t="n">
        <f aca="false">C6/C$16</f>
        <v>0.0798913043478261</v>
      </c>
      <c r="E6" s="9" t="n">
        <v>1520</v>
      </c>
      <c r="F6" s="15" t="n">
        <f aca="false">E6/E$16</f>
        <v>0.0775510204081633</v>
      </c>
      <c r="G6" s="9" t="n">
        <v>1490</v>
      </c>
      <c r="H6" s="15" t="n">
        <f aca="false">G6/G$16</f>
        <v>0.0696261682242991</v>
      </c>
    </row>
    <row r="7" customFormat="false" ht="15" hidden="false" customHeight="false" outlineLevel="0" collapsed="false">
      <c r="A7" s="7" t="s">
        <v>110</v>
      </c>
      <c r="B7" s="7" t="s">
        <v>111</v>
      </c>
      <c r="C7" s="9" t="n">
        <v>1290</v>
      </c>
      <c r="D7" s="15" t="n">
        <f aca="false">C7/C$16</f>
        <v>0.0701086956521739</v>
      </c>
      <c r="E7" s="9" t="n">
        <v>1310</v>
      </c>
      <c r="F7" s="15" t="n">
        <f aca="false">E7/E$16</f>
        <v>0.0668367346938776</v>
      </c>
      <c r="G7" s="9" t="n">
        <v>1280</v>
      </c>
      <c r="H7" s="15" t="n">
        <f aca="false">G7/G$16</f>
        <v>0.0598130841121495</v>
      </c>
    </row>
    <row r="8" customFormat="false" ht="15" hidden="false" customHeight="false" outlineLevel="0" collapsed="false">
      <c r="A8" s="7" t="s">
        <v>112</v>
      </c>
      <c r="B8" s="7" t="s">
        <v>113</v>
      </c>
      <c r="C8" s="9" t="n">
        <v>1100</v>
      </c>
      <c r="D8" s="15" t="n">
        <f aca="false">C8/C$16</f>
        <v>0.0597826086956522</v>
      </c>
      <c r="E8" s="9" t="n">
        <v>1080</v>
      </c>
      <c r="F8" s="15" t="n">
        <f aca="false">E8/E$16</f>
        <v>0.0551020408163265</v>
      </c>
      <c r="G8" s="9" t="n">
        <v>1050</v>
      </c>
      <c r="H8" s="15" t="n">
        <f aca="false">G8/G$16</f>
        <v>0.0490654205607477</v>
      </c>
    </row>
    <row r="9" customFormat="false" ht="15" hidden="false" customHeight="false" outlineLevel="0" collapsed="false">
      <c r="A9" s="7" t="s">
        <v>114</v>
      </c>
      <c r="B9" s="7" t="s">
        <v>115</v>
      </c>
      <c r="C9" s="9" t="n">
        <v>920</v>
      </c>
      <c r="D9" s="15" t="n">
        <f aca="false">C9/C$16</f>
        <v>0.05</v>
      </c>
      <c r="E9" s="9" t="n">
        <v>950</v>
      </c>
      <c r="F9" s="15" t="n">
        <f aca="false">E9/E$16</f>
        <v>0.048469387755102</v>
      </c>
      <c r="G9" s="9" t="n">
        <v>970</v>
      </c>
      <c r="H9" s="15" t="n">
        <f aca="false">G9/G$16</f>
        <v>0.0453271028037383</v>
      </c>
    </row>
    <row r="10" customFormat="false" ht="15" hidden="false" customHeight="false" outlineLevel="0" collapsed="false">
      <c r="A10" s="7" t="s">
        <v>116</v>
      </c>
      <c r="B10" s="7" t="s">
        <v>109</v>
      </c>
      <c r="C10" s="9" t="n">
        <v>830</v>
      </c>
      <c r="D10" s="15" t="n">
        <f aca="false">C10/C$16</f>
        <v>0.0451086956521739</v>
      </c>
      <c r="E10" s="9" t="n">
        <v>860</v>
      </c>
      <c r="F10" s="15" t="n">
        <f aca="false">E10/E$16</f>
        <v>0.0438775510204082</v>
      </c>
      <c r="G10" s="9" t="n">
        <v>840</v>
      </c>
      <c r="H10" s="15" t="n">
        <f aca="false">G10/G$16</f>
        <v>0.0392523364485981</v>
      </c>
    </row>
    <row r="11" customFormat="false" ht="15" hidden="false" customHeight="false" outlineLevel="0" collapsed="false">
      <c r="A11" s="7" t="s">
        <v>117</v>
      </c>
      <c r="B11" s="7" t="s">
        <v>118</v>
      </c>
      <c r="C11" s="9" t="n">
        <v>740</v>
      </c>
      <c r="D11" s="15" t="n">
        <f aca="false">C11/C$16</f>
        <v>0.0402173913043478</v>
      </c>
      <c r="E11" s="9" t="n">
        <v>760</v>
      </c>
      <c r="F11" s="15" t="n">
        <f aca="false">E11/E$16</f>
        <v>0.0387755102040816</v>
      </c>
      <c r="G11" s="9" t="n">
        <v>780</v>
      </c>
      <c r="H11" s="15" t="n">
        <f aca="false">G11/G$16</f>
        <v>0.0364485981308411</v>
      </c>
    </row>
    <row r="12" customFormat="false" ht="15" hidden="false" customHeight="false" outlineLevel="0" collapsed="false">
      <c r="A12" s="7" t="s">
        <v>119</v>
      </c>
      <c r="B12" s="7" t="s">
        <v>107</v>
      </c>
      <c r="C12" s="9" t="n">
        <v>640</v>
      </c>
      <c r="D12" s="15" t="n">
        <f aca="false">C12/C$16</f>
        <v>0.0347826086956522</v>
      </c>
      <c r="E12" s="9" t="n">
        <v>620</v>
      </c>
      <c r="F12" s="15" t="n">
        <f aca="false">E12/E$16</f>
        <v>0.0316326530612245</v>
      </c>
      <c r="G12" s="9" t="n">
        <v>600</v>
      </c>
      <c r="H12" s="15" t="n">
        <f aca="false">G12/G$16</f>
        <v>0.0280373831775701</v>
      </c>
    </row>
    <row r="13" customFormat="false" ht="15" hidden="false" customHeight="false" outlineLevel="0" collapsed="false">
      <c r="A13" s="7" t="s">
        <v>120</v>
      </c>
      <c r="B13" s="7" t="s">
        <v>121</v>
      </c>
      <c r="C13" s="9" t="n">
        <v>550</v>
      </c>
      <c r="D13" s="15" t="n">
        <f aca="false">C13/C$16</f>
        <v>0.0298913043478261</v>
      </c>
      <c r="E13" s="9" t="n">
        <v>580</v>
      </c>
      <c r="F13" s="15" t="n">
        <f aca="false">E13/E$16</f>
        <v>0.0295918367346939</v>
      </c>
      <c r="G13" s="9" t="n">
        <v>590</v>
      </c>
      <c r="H13" s="15" t="n">
        <f aca="false">G13/G$16</f>
        <v>0.0275700934579439</v>
      </c>
    </row>
    <row r="14" customFormat="false" ht="15" hidden="false" customHeight="false" outlineLevel="0" collapsed="false">
      <c r="A14" s="7" t="s">
        <v>122</v>
      </c>
      <c r="B14" s="7" t="s">
        <v>123</v>
      </c>
      <c r="C14" s="9" t="n">
        <v>0</v>
      </c>
      <c r="D14" s="15" t="n">
        <f aca="false">C14/C$16</f>
        <v>0</v>
      </c>
      <c r="E14" s="9" t="n">
        <v>0</v>
      </c>
      <c r="F14" s="15" t="n">
        <f aca="false">E14/E$16</f>
        <v>0</v>
      </c>
      <c r="G14" s="9" t="n">
        <v>1300</v>
      </c>
      <c r="H14" s="15" t="n">
        <f aca="false">G14/G$16</f>
        <v>0.0607476635514019</v>
      </c>
    </row>
    <row r="15" customFormat="false" ht="15" hidden="false" customHeight="false" outlineLevel="0" collapsed="false">
      <c r="A15" s="7" t="s">
        <v>124</v>
      </c>
      <c r="B15" s="7" t="s">
        <v>125</v>
      </c>
      <c r="C15" s="9" t="n">
        <v>8100</v>
      </c>
      <c r="D15" s="15" t="n">
        <f aca="false">C15/C$16</f>
        <v>0.440217391304348</v>
      </c>
      <c r="E15" s="9" t="n">
        <v>8390</v>
      </c>
      <c r="F15" s="15" t="n">
        <f aca="false">E15/E$16</f>
        <v>0.428061224489796</v>
      </c>
      <c r="G15" s="9" t="n">
        <v>7400</v>
      </c>
      <c r="H15" s="15" t="n">
        <f aca="false">G15/G$16</f>
        <v>0.345794392523364</v>
      </c>
    </row>
    <row r="16" customFormat="false" ht="15" hidden="false" customHeight="false" outlineLevel="0" collapsed="false">
      <c r="A16" s="3" t="s">
        <v>126</v>
      </c>
      <c r="C16" s="11" t="n">
        <f aca="false">SUM(C5:C15)</f>
        <v>18400</v>
      </c>
      <c r="D16" s="16" t="n">
        <f aca="false">C16/C$16</f>
        <v>1</v>
      </c>
      <c r="E16" s="11" t="n">
        <f aca="false">SUM(E5:E15)</f>
        <v>19600</v>
      </c>
      <c r="F16" s="16" t="n">
        <f aca="false">E16/E$16</f>
        <v>1</v>
      </c>
      <c r="G16" s="11" t="n">
        <f aca="false">SUM(G5:G15)</f>
        <v>21400</v>
      </c>
      <c r="H16" s="16" t="n">
        <f aca="false">G16/G$16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5" t="s">
        <v>32</v>
      </c>
      <c r="B4" s="6" t="s">
        <v>33</v>
      </c>
      <c r="C4" s="6" t="s">
        <v>34</v>
      </c>
      <c r="D4" s="6" t="s">
        <v>35</v>
      </c>
    </row>
    <row r="5" customFormat="false" ht="15" hidden="false" customHeight="false" outlineLevel="0" collapsed="false">
      <c r="A5" s="8" t="s">
        <v>129</v>
      </c>
      <c r="B5" s="9" t="n">
        <v>18400</v>
      </c>
      <c r="C5" s="9" t="n">
        <v>19600</v>
      </c>
      <c r="D5" s="9" t="n">
        <v>21400</v>
      </c>
    </row>
    <row r="6" customFormat="false" ht="15" hidden="false" customHeight="false" outlineLevel="0" collapsed="false">
      <c r="A6" s="8" t="s">
        <v>130</v>
      </c>
      <c r="B6" s="9" t="n">
        <v>1560</v>
      </c>
      <c r="C6" s="9" t="n">
        <v>1640</v>
      </c>
      <c r="D6" s="9" t="n">
        <v>1415</v>
      </c>
    </row>
    <row r="7" customFormat="false" ht="15" hidden="false" customHeight="false" outlineLevel="0" collapsed="false">
      <c r="A7" s="13" t="s">
        <v>131</v>
      </c>
      <c r="B7" s="14"/>
      <c r="C7" s="14"/>
      <c r="D7" s="14"/>
    </row>
    <row r="8" customFormat="false" ht="15" hidden="false" customHeight="false" outlineLevel="0" collapsed="false">
      <c r="A8" s="8" t="s">
        <v>132</v>
      </c>
      <c r="B8" s="9" t="n">
        <v>90</v>
      </c>
      <c r="C8" s="9" t="n">
        <v>110</v>
      </c>
      <c r="D8" s="9" t="n">
        <v>140</v>
      </c>
    </row>
    <row r="9" customFormat="false" ht="15" hidden="false" customHeight="false" outlineLevel="0" collapsed="false">
      <c r="A9" s="8" t="s">
        <v>133</v>
      </c>
      <c r="B9" s="9" t="n">
        <v>0</v>
      </c>
      <c r="C9" s="9" t="n">
        <v>45</v>
      </c>
      <c r="D9" s="9" t="n">
        <v>85</v>
      </c>
    </row>
    <row r="10" customFormat="false" ht="15" hidden="false" customHeight="false" outlineLevel="0" collapsed="false">
      <c r="A10" s="8" t="s">
        <v>134</v>
      </c>
      <c r="B10" s="9" t="n">
        <v>0</v>
      </c>
      <c r="C10" s="9" t="n">
        <v>0</v>
      </c>
      <c r="D10" s="9" t="n">
        <v>160</v>
      </c>
    </row>
    <row r="11" customFormat="false" ht="15" hidden="false" customHeight="false" outlineLevel="0" collapsed="false">
      <c r="A11" s="8" t="s">
        <v>135</v>
      </c>
      <c r="B11" s="9" t="n">
        <v>0</v>
      </c>
      <c r="C11" s="9" t="n">
        <v>0</v>
      </c>
      <c r="D11" s="9" t="n">
        <v>70</v>
      </c>
    </row>
    <row r="12" customFormat="false" ht="15" hidden="false" customHeight="false" outlineLevel="0" collapsed="false">
      <c r="A12" s="10" t="s">
        <v>136</v>
      </c>
      <c r="B12" s="11" t="n">
        <f aca="false">SUM(B8:B11)</f>
        <v>90</v>
      </c>
      <c r="C12" s="11" t="n">
        <f aca="false">SUM(C8:C11)</f>
        <v>155</v>
      </c>
      <c r="D12" s="11" t="n">
        <f aca="false">SUM(D8:D11)</f>
        <v>455</v>
      </c>
    </row>
    <row r="13" customFormat="false" ht="15" hidden="false" customHeight="false" outlineLevel="0" collapsed="false">
      <c r="A13" s="10" t="s">
        <v>137</v>
      </c>
      <c r="B13" s="11" t="n">
        <f aca="false">B6+B12</f>
        <v>1650</v>
      </c>
      <c r="C13" s="11" t="n">
        <f aca="false">C6+C12</f>
        <v>1795</v>
      </c>
      <c r="D13" s="11" t="n">
        <f aca="false">D6+D12</f>
        <v>1870</v>
      </c>
    </row>
    <row r="14" customFormat="false" ht="15" hidden="false" customHeight="false" outlineLevel="0" collapsed="false">
      <c r="A14" s="8" t="s">
        <v>138</v>
      </c>
      <c r="B14" s="15" t="n">
        <f aca="false">B13/B5</f>
        <v>0.0896739130434783</v>
      </c>
      <c r="C14" s="15" t="n">
        <f aca="false">C13/C5</f>
        <v>0.0915816326530612</v>
      </c>
      <c r="D14" s="15" t="n">
        <f aca="false">D13/D5</f>
        <v>0.0873831775700935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8" min="8" style="0" width="17"/>
    <col collapsed="false" customWidth="true" hidden="false" outlineLevel="0" max="9" min="9" style="0" width="3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139</v>
      </c>
    </row>
    <row r="4" customFormat="false" ht="30" hidden="false" customHeight="true" outlineLevel="0" collapsed="false">
      <c r="A4" s="5" t="s">
        <v>140</v>
      </c>
      <c r="B4" s="6" t="s">
        <v>141</v>
      </c>
      <c r="C4" s="6" t="s">
        <v>142</v>
      </c>
      <c r="D4" s="6" t="s">
        <v>143</v>
      </c>
      <c r="E4" s="6" t="s">
        <v>144</v>
      </c>
      <c r="F4" s="6" t="s">
        <v>145</v>
      </c>
      <c r="G4" s="6" t="s">
        <v>146</v>
      </c>
      <c r="H4" s="6" t="s">
        <v>147</v>
      </c>
      <c r="I4" s="6" t="s">
        <v>148</v>
      </c>
    </row>
    <row r="5" customFormat="false" ht="27" hidden="false" customHeight="true" outlineLevel="0" collapsed="false">
      <c r="A5" s="4" t="s">
        <v>149</v>
      </c>
      <c r="B5" s="4" t="s">
        <v>150</v>
      </c>
      <c r="C5" s="17" t="n">
        <v>1200</v>
      </c>
      <c r="D5" s="17" t="n">
        <v>1200</v>
      </c>
      <c r="E5" s="17" t="n">
        <v>1200</v>
      </c>
      <c r="F5" s="18" t="n">
        <f aca="false">D5-E5</f>
        <v>0</v>
      </c>
      <c r="G5" s="4" t="s">
        <v>151</v>
      </c>
      <c r="H5" s="4" t="s">
        <v>152</v>
      </c>
      <c r="I5" s="4" t="s">
        <v>153</v>
      </c>
    </row>
    <row r="6" customFormat="false" ht="27" hidden="false" customHeight="true" outlineLevel="0" collapsed="false">
      <c r="A6" s="4" t="s">
        <v>154</v>
      </c>
      <c r="B6" s="4" t="s">
        <v>155</v>
      </c>
      <c r="C6" s="17" t="n">
        <v>2300</v>
      </c>
      <c r="D6" s="17" t="n">
        <v>2000</v>
      </c>
      <c r="E6" s="17" t="n">
        <v>350</v>
      </c>
      <c r="F6" s="18" t="n">
        <f aca="false">D6-E6</f>
        <v>1650</v>
      </c>
      <c r="G6" s="4" t="s">
        <v>156</v>
      </c>
      <c r="H6" s="4" t="s">
        <v>157</v>
      </c>
      <c r="I6" s="4" t="s">
        <v>158</v>
      </c>
    </row>
    <row r="7" customFormat="false" ht="27" hidden="false" customHeight="true" outlineLevel="0" collapsed="false">
      <c r="A7" s="4" t="s">
        <v>159</v>
      </c>
      <c r="B7" s="4" t="s">
        <v>160</v>
      </c>
      <c r="C7" s="17" t="n">
        <v>0</v>
      </c>
      <c r="D7" s="17" t="n">
        <v>800</v>
      </c>
      <c r="E7" s="17" t="n">
        <v>800</v>
      </c>
      <c r="F7" s="18" t="n">
        <f aca="false">D7-E7</f>
        <v>0</v>
      </c>
      <c r="G7" s="4" t="s">
        <v>161</v>
      </c>
      <c r="H7" s="4" t="s">
        <v>162</v>
      </c>
      <c r="I7" s="4" t="s">
        <v>163</v>
      </c>
    </row>
    <row r="8" customFormat="false" ht="15" hidden="false" customHeight="true" outlineLevel="0" collapsed="false">
      <c r="A8" s="4" t="s">
        <v>164</v>
      </c>
      <c r="B8" s="4" t="s">
        <v>165</v>
      </c>
      <c r="C8" s="17" t="n">
        <v>350</v>
      </c>
      <c r="D8" s="17" t="n">
        <v>350</v>
      </c>
      <c r="E8" s="17" t="n">
        <v>50</v>
      </c>
      <c r="F8" s="18" t="n">
        <f aca="false">D8-E8</f>
        <v>300</v>
      </c>
      <c r="G8" s="4" t="s">
        <v>166</v>
      </c>
      <c r="H8" s="4" t="s">
        <v>167</v>
      </c>
      <c r="I8" s="4" t="s">
        <v>168</v>
      </c>
    </row>
    <row r="9" customFormat="false" ht="15" hidden="false" customHeight="false" outlineLevel="0" collapsed="false">
      <c r="A9" s="3" t="s">
        <v>169</v>
      </c>
      <c r="C9" s="11" t="n">
        <f aca="false">SUM(C5:C8)</f>
        <v>3850</v>
      </c>
      <c r="D9" s="11" t="n">
        <f aca="false">SUM(D5:D8)</f>
        <v>4350</v>
      </c>
      <c r="E9" s="11" t="n">
        <f aca="false">SUM(E5:E8)</f>
        <v>2400</v>
      </c>
      <c r="F9" s="11" t="n">
        <f aca="false">SUM(F5:F8)</f>
        <v>1950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40.5" hidden="false" customHeight="true" outlineLevel="0" collapsed="false">
      <c r="A4" s="19" t="s">
        <v>172</v>
      </c>
      <c r="B4" s="4" t="s">
        <v>173</v>
      </c>
    </row>
    <row r="5" customFormat="false" ht="27" hidden="false" customHeight="true" outlineLevel="0" collapsed="false">
      <c r="A5" s="19" t="s">
        <v>174</v>
      </c>
      <c r="B5" s="4" t="s">
        <v>175</v>
      </c>
    </row>
    <row r="6" customFormat="false" ht="27" hidden="false" customHeight="true" outlineLevel="0" collapsed="false">
      <c r="A6" s="19" t="s">
        <v>176</v>
      </c>
      <c r="B6" s="4" t="s">
        <v>177</v>
      </c>
    </row>
    <row r="7" customFormat="false" ht="27" hidden="false" customHeight="true" outlineLevel="0" collapsed="false">
      <c r="A7" s="19" t="s">
        <v>178</v>
      </c>
      <c r="B7" s="4" t="s">
        <v>179</v>
      </c>
    </row>
    <row r="8" customFormat="false" ht="40.5" hidden="false" customHeight="true" outlineLevel="0" collapsed="false">
      <c r="A8" s="19" t="s">
        <v>180</v>
      </c>
      <c r="B8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2026-10-26T09:30:11Z</dcterms:created>
  <dc:creator>openpyxl</dc:creator>
  <dc:description/>
  <dc:language>en-US</dc:language>
  <cp:lastModifiedBy/>
  <dcterms:modified xsi:type="dcterms:W3CDTF">2026-10-26T09:30:11Z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